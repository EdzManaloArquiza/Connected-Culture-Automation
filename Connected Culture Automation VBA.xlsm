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557E501-CC15-422E-AA30-261A8C5D6F3F}" xr6:coauthVersionLast="47" xr6:coauthVersionMax="47" xr10:uidLastSave="{00000000-0000-0000-0000-000000000000}"/>
  <bookViews>
    <workbookView xWindow="28680" yWindow="-120" windowWidth="29040" windowHeight="15840" tabRatio="500" activeTab="2" xr2:uid="{00000000-000D-0000-FFFF-FFFF00000000}"/>
  </bookViews>
  <sheets>
    <sheet name="Projects &amp; Tasks from Time Doct" sheetId="1" r:id="rId1"/>
    <sheet name="Automate" sheetId="6" r:id="rId2"/>
    <sheet name="Template" sheetId="7" r:id="rId3"/>
    <sheet name="Sample Manual Journal" sheetId="4" state="hidden" r:id="rId4"/>
    <sheet name="Clients" sheetId="5" r:id="rId5"/>
    <sheet name="Harrison" sheetId="2" r:id="rId6"/>
    <sheet name="Gladys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G4" i="1" s="1"/>
  <c r="F4" i="1"/>
  <c r="F20" i="1" s="1"/>
  <c r="D6" i="1"/>
  <c r="D20" i="1" s="1"/>
  <c r="F6" i="1"/>
  <c r="D8" i="1"/>
  <c r="F8" i="1"/>
  <c r="D10" i="1"/>
  <c r="F10" i="1"/>
  <c r="D12" i="1"/>
  <c r="G12" i="1" s="1"/>
  <c r="F12" i="1"/>
  <c r="D15" i="1"/>
  <c r="F15" i="1"/>
  <c r="D17" i="1"/>
  <c r="F17" i="1"/>
  <c r="D19" i="1"/>
  <c r="F19" i="1"/>
  <c r="D26" i="1"/>
  <c r="F26" i="1"/>
  <c r="F45" i="1" s="1"/>
  <c r="D28" i="1"/>
  <c r="G28" i="1" s="1"/>
  <c r="F28" i="1"/>
  <c r="D30" i="1"/>
  <c r="F30" i="1"/>
  <c r="D32" i="1"/>
  <c r="G32" i="1" s="1"/>
  <c r="F32" i="1"/>
  <c r="D34" i="1"/>
  <c r="F34" i="1"/>
  <c r="D36" i="1"/>
  <c r="G36" i="1" s="1"/>
  <c r="F36" i="1"/>
  <c r="D38" i="1"/>
  <c r="F38" i="1"/>
  <c r="D42" i="1"/>
  <c r="G42" i="1" s="1"/>
  <c r="F42" i="1"/>
  <c r="D44" i="1"/>
  <c r="F44" i="1"/>
  <c r="D45" i="1"/>
  <c r="H30" i="1" s="1"/>
  <c r="G8" i="1" l="1"/>
  <c r="G17" i="1"/>
  <c r="H10" i="1"/>
  <c r="G10" i="1"/>
  <c r="G15" i="1"/>
  <c r="G19" i="1"/>
  <c r="H15" i="1"/>
  <c r="H19" i="1"/>
  <c r="H8" i="1"/>
  <c r="H12" i="1"/>
  <c r="H17" i="1"/>
  <c r="H4" i="1"/>
  <c r="H6" i="1"/>
  <c r="H38" i="1"/>
  <c r="H34" i="1"/>
  <c r="H26" i="1"/>
  <c r="G44" i="1"/>
  <c r="G38" i="1"/>
  <c r="G34" i="1"/>
  <c r="G30" i="1"/>
  <c r="G26" i="1"/>
  <c r="G6" i="1"/>
  <c r="H44" i="1"/>
  <c r="H42" i="1"/>
  <c r="H36" i="1"/>
  <c r="H32" i="1"/>
  <c r="H28" i="1"/>
  <c r="B15" i="3"/>
  <c r="F14" i="3"/>
  <c r="E14" i="3"/>
  <c r="D14" i="3"/>
  <c r="C14" i="3"/>
  <c r="F13" i="3"/>
  <c r="E13" i="3"/>
  <c r="D13" i="3"/>
  <c r="C13" i="3"/>
  <c r="F12" i="3"/>
  <c r="E12" i="3"/>
  <c r="D12" i="3"/>
  <c r="C12" i="3"/>
  <c r="F11" i="3"/>
  <c r="E11" i="3"/>
  <c r="D11" i="3"/>
  <c r="C11" i="3"/>
  <c r="F10" i="3"/>
  <c r="E10" i="3"/>
  <c r="D10" i="3"/>
  <c r="C10" i="3"/>
  <c r="F9" i="3"/>
  <c r="E9" i="3"/>
  <c r="D9" i="3"/>
  <c r="C9" i="3"/>
  <c r="F8" i="3"/>
  <c r="E8" i="3"/>
  <c r="D8" i="3"/>
  <c r="C8" i="3"/>
  <c r="F7" i="3"/>
  <c r="E7" i="3"/>
  <c r="D7" i="3"/>
  <c r="C7" i="3"/>
  <c r="F6" i="3"/>
  <c r="F15" i="3"/>
  <c r="F16" i="3"/>
  <c r="E6" i="3"/>
  <c r="E15" i="3"/>
  <c r="E16" i="3"/>
  <c r="D6" i="3"/>
  <c r="D15" i="3"/>
  <c r="D16" i="3"/>
  <c r="C6" i="3"/>
  <c r="C15" i="3"/>
  <c r="C16" i="3"/>
  <c r="B18" i="2"/>
  <c r="C6" i="2"/>
  <c r="D6" i="2"/>
  <c r="H6" i="2"/>
  <c r="G6" i="2"/>
  <c r="F6" i="2"/>
  <c r="E6" i="2"/>
  <c r="B21" i="2"/>
  <c r="C9" i="2"/>
  <c r="D9" i="2"/>
  <c r="C13" i="2"/>
  <c r="D13" i="2"/>
  <c r="C17" i="2"/>
  <c r="D17" i="2"/>
  <c r="C10" i="2"/>
  <c r="D10" i="2"/>
  <c r="C14" i="2"/>
  <c r="D14" i="2"/>
  <c r="C8" i="2"/>
  <c r="D8" i="2"/>
  <c r="C12" i="2"/>
  <c r="D12" i="2"/>
  <c r="C16" i="2"/>
  <c r="D16" i="2"/>
  <c r="C7" i="2"/>
  <c r="D7" i="2"/>
  <c r="C11" i="2"/>
  <c r="D11" i="2"/>
  <c r="C15" i="2"/>
  <c r="D15" i="2"/>
  <c r="E15" i="2"/>
  <c r="H15" i="2"/>
  <c r="G15" i="2"/>
  <c r="F15" i="2"/>
  <c r="E11" i="2"/>
  <c r="H11" i="2"/>
  <c r="G11" i="2"/>
  <c r="F11" i="2"/>
  <c r="F16" i="2"/>
  <c r="E16" i="2"/>
  <c r="G16" i="2"/>
  <c r="H16" i="2"/>
  <c r="F12" i="2"/>
  <c r="E12" i="2"/>
  <c r="G12" i="2"/>
  <c r="H12" i="2"/>
  <c r="H13" i="2"/>
  <c r="F13" i="2"/>
  <c r="G13" i="2"/>
  <c r="E13" i="2"/>
  <c r="F8" i="2"/>
  <c r="H8" i="2"/>
  <c r="G8" i="2"/>
  <c r="G21" i="2"/>
  <c r="G22" i="2"/>
  <c r="E8" i="2"/>
  <c r="H17" i="2"/>
  <c r="F17" i="2"/>
  <c r="G17" i="2"/>
  <c r="E17" i="2"/>
  <c r="H9" i="2"/>
  <c r="F9" i="2"/>
  <c r="E9" i="2"/>
  <c r="G9" i="2"/>
  <c r="H14" i="2"/>
  <c r="G14" i="2"/>
  <c r="F14" i="2"/>
  <c r="E14" i="2"/>
  <c r="E7" i="2"/>
  <c r="E21" i="2"/>
  <c r="E22" i="2"/>
  <c r="H7" i="2"/>
  <c r="G7" i="2"/>
  <c r="F7" i="2"/>
  <c r="F21" i="2"/>
  <c r="F22" i="2"/>
  <c r="H10" i="2"/>
  <c r="G10" i="2"/>
  <c r="F10" i="2"/>
  <c r="E10" i="2"/>
  <c r="H21" i="2"/>
  <c r="H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Irish Guia Medel</author>
  </authors>
  <commentList>
    <comment ref="B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Irish Guia Medel:</t>
        </r>
        <r>
          <rPr>
            <sz val="9"/>
            <color indexed="81"/>
            <rFont val="Tahoma"/>
            <family val="2"/>
          </rPr>
          <t xml:space="preserve">
Added 0.27 in total to come up with the 100%</t>
        </r>
      </text>
    </comment>
  </commentList>
</comments>
</file>

<file path=xl/sharedStrings.xml><?xml version="1.0" encoding="utf-8"?>
<sst xmlns="http://schemas.openxmlformats.org/spreadsheetml/2006/main" count="489" uniqueCount="192">
  <si>
    <t>Project</t>
  </si>
  <si>
    <t>User</t>
  </si>
  <si>
    <t>Task</t>
  </si>
  <si>
    <t>Time Tracked (Decimal)</t>
  </si>
  <si>
    <t>Time Tracked (Hours &amp; minutes)</t>
  </si>
  <si>
    <t>Time Tracked (Digital)</t>
  </si>
  <si>
    <t>Asana: Client | Mooi</t>
  </si>
  <si>
    <t>Ellen</t>
  </si>
  <si>
    <t>Work on MOOI</t>
  </si>
  <si>
    <t>1h 57m</t>
  </si>
  <si>
    <t>01:57:11</t>
  </si>
  <si>
    <t>Asana: Client | ASAPS - 20 hours</t>
  </si>
  <si>
    <t>Client | ASAPS</t>
  </si>
  <si>
    <t>2h 22m</t>
  </si>
  <si>
    <t>02:22:54</t>
  </si>
  <si>
    <t>Asana: Client | Foot Injury Clinic - 16 hours</t>
  </si>
  <si>
    <t>Work on FIC</t>
  </si>
  <si>
    <t>2h 49m</t>
  </si>
  <si>
    <t>02:49:46</t>
  </si>
  <si>
    <t>Asana: Client | Hanro</t>
  </si>
  <si>
    <t>Work on Hanro</t>
  </si>
  <si>
    <t>1h 33m</t>
  </si>
  <si>
    <t>01:33:13</t>
  </si>
  <si>
    <t>Daniella Saavedra</t>
  </si>
  <si>
    <t>2h 19m</t>
  </si>
  <si>
    <t>02:19:37</t>
  </si>
  <si>
    <t>Asana: Client | L3 Home</t>
  </si>
  <si>
    <t>Work on L3 Home</t>
  </si>
  <si>
    <t>4h 34m</t>
  </si>
  <si>
    <t>04:34:47</t>
  </si>
  <si>
    <t>6h 00m</t>
  </si>
  <si>
    <t>06:00:47</t>
  </si>
  <si>
    <t>Asana: Client | Luxo Living</t>
  </si>
  <si>
    <t>Work on Luxo Living</t>
  </si>
  <si>
    <t>3h 33m</t>
  </si>
  <si>
    <t>03:33:55</t>
  </si>
  <si>
    <t>8h 55m</t>
  </si>
  <si>
    <t>08:55:18</t>
  </si>
  <si>
    <t>Asana: Client | Urban Sales</t>
  </si>
  <si>
    <t>Work on Urban Sales</t>
  </si>
  <si>
    <t>13h 09m</t>
  </si>
  <si>
    <t>13:09:31</t>
  </si>
  <si>
    <t>Asana: Client | GINIA</t>
  </si>
  <si>
    <t>Work on GINIA</t>
  </si>
  <si>
    <t>1h 53m</t>
  </si>
  <si>
    <t>01:53:42</t>
  </si>
  <si>
    <t>12h 34m</t>
  </si>
  <si>
    <t>12:34:25</t>
  </si>
  <si>
    <t>Asana: Connected Culture | 140 hours</t>
  </si>
  <si>
    <t>Emails &amp; daily admin</t>
  </si>
  <si>
    <t>1h 26m</t>
  </si>
  <si>
    <t>01:26:07</t>
  </si>
  <si>
    <t>Internal Meetings</t>
  </si>
  <si>
    <t>3h 44m</t>
  </si>
  <si>
    <t>03:44:00</t>
  </si>
  <si>
    <t>03:33:30</t>
  </si>
  <si>
    <t>Emails &amp; Daily Admin</t>
  </si>
  <si>
    <t>4h 33m</t>
  </si>
  <si>
    <t>04:33:13</t>
  </si>
  <si>
    <t>Work for Connected Culture</t>
  </si>
  <si>
    <t>4h 40m</t>
  </si>
  <si>
    <t>04:40:20</t>
  </si>
  <si>
    <t>Asana: Client | Papaya</t>
  </si>
  <si>
    <t>Work on Papaya</t>
  </si>
  <si>
    <t>18h 17m</t>
  </si>
  <si>
    <t>18:17:54</t>
  </si>
  <si>
    <t>Asana: Client | Glicks Furniture</t>
  </si>
  <si>
    <t>Work on Glicks</t>
  </si>
  <si>
    <t>6h 40m</t>
  </si>
  <si>
    <t>06:40:18</t>
  </si>
  <si>
    <t>12h 11m</t>
  </si>
  <si>
    <t>12:11:29</t>
  </si>
  <si>
    <t>General Work</t>
  </si>
  <si>
    <t>Madeline</t>
  </si>
  <si>
    <t>Other work</t>
  </si>
  <si>
    <t>30.55917</t>
  </si>
  <si>
    <t>30h 33m</t>
  </si>
  <si>
    <t>30:33:33</t>
  </si>
  <si>
    <t>Emails</t>
  </si>
  <si>
    <t>37.11639</t>
  </si>
  <si>
    <t>37h 06m</t>
  </si>
  <si>
    <t>37:06:59</t>
  </si>
  <si>
    <t>Asana: Client | Hanro Total</t>
  </si>
  <si>
    <t>Asana: Client | L3 Home Total</t>
  </si>
  <si>
    <t>Asana: Client | Luxo Living Total</t>
  </si>
  <si>
    <t>Asana: Client | Urban Sales Total</t>
  </si>
  <si>
    <t>Asana: Client | GINIA Total</t>
  </si>
  <si>
    <t>Asana: Connected Culture | 140 hours Total</t>
  </si>
  <si>
    <t>Asana: Client | Papaya Total</t>
  </si>
  <si>
    <t>Asana: Client | Glicks Furniture Total</t>
  </si>
  <si>
    <t>Grand Total</t>
  </si>
  <si>
    <t>Asana: Client | Mooi Total</t>
  </si>
  <si>
    <t>Asana: Client | ASAPS - 20 hours Total</t>
  </si>
  <si>
    <t>Asana: Client | Foot Injury Clinic - 16 hours Total</t>
  </si>
  <si>
    <t xml:space="preserve">Earnings </t>
  </si>
  <si>
    <t>Super</t>
  </si>
  <si>
    <t>FN ending 10 Dec</t>
  </si>
  <si>
    <t>FN ending 24 Dec</t>
  </si>
  <si>
    <t>Percentage</t>
  </si>
  <si>
    <t>Earnings</t>
  </si>
  <si>
    <t>Connected Culture</t>
  </si>
  <si>
    <t>Luxo Living</t>
  </si>
  <si>
    <t>Urban Sales</t>
  </si>
  <si>
    <t>Icon</t>
  </si>
  <si>
    <t>Papaya</t>
  </si>
  <si>
    <t>Luxotic</t>
  </si>
  <si>
    <t>Glicks</t>
  </si>
  <si>
    <t>L3 Home</t>
  </si>
  <si>
    <t>Fashionata</t>
  </si>
  <si>
    <t>Ted's Camera</t>
  </si>
  <si>
    <t>ASAPs</t>
  </si>
  <si>
    <t>Foot Injury Clinic</t>
  </si>
  <si>
    <t>Annual Leave - Overheads</t>
  </si>
  <si>
    <t>*to be allocated on 25 Dec onwards, no annual leave for FN ending 10 and 24 Dec</t>
  </si>
  <si>
    <t>Total</t>
  </si>
  <si>
    <t>Checking</t>
  </si>
  <si>
    <t>Description</t>
  </si>
  <si>
    <t>Account</t>
  </si>
  <si>
    <t>Tax Rate</t>
  </si>
  <si>
    <t>Client</t>
  </si>
  <si>
    <t>Debit AUD</t>
  </si>
  <si>
    <t>Credit AUD</t>
  </si>
  <si>
    <t>Split Daniella salary and super costs across clients</t>
  </si>
  <si>
    <t>477 - Wages and Salaries</t>
  </si>
  <si>
    <t>BAS Excluded</t>
  </si>
  <si>
    <t>Fashionata - Ginia &amp; Hanro</t>
  </si>
  <si>
    <t>Glicks Furniture</t>
  </si>
  <si>
    <t>478 - Superannuation</t>
  </si>
  <si>
    <t>Subtotal6,112.316,112.31</t>
  </si>
  <si>
    <r>
      <t>TOTAL</t>
    </r>
    <r>
      <rPr>
        <b/>
        <sz val="9"/>
        <color indexed="8"/>
        <rFont val="Inherit"/>
      </rPr>
      <t>6,112.316,112.31</t>
    </r>
  </si>
  <si>
    <r>
      <t xml:space="preserve">Amounts </t>
    </r>
    <r>
      <rPr>
        <b/>
        <sz val="9"/>
        <color indexed="8"/>
        <rFont val="Inherit"/>
      </rPr>
      <t>do not include Tax</t>
    </r>
  </si>
  <si>
    <t>Australasian Society of Aesthetic Plastic Surgeons</t>
  </si>
  <si>
    <t>Cosmetic Culture</t>
  </si>
  <si>
    <t>Dr Tim</t>
  </si>
  <si>
    <t>Egg of the Universe</t>
  </si>
  <si>
    <t>Flash Fomo</t>
  </si>
  <si>
    <t>Forme Institute</t>
  </si>
  <si>
    <t>Icon By Design</t>
  </si>
  <si>
    <t>Icon By Design USA</t>
  </si>
  <si>
    <t>Jesuit Communications</t>
  </si>
  <si>
    <t>Meridian</t>
  </si>
  <si>
    <t>Mooi</t>
  </si>
  <si>
    <t>My Klinik</t>
  </si>
  <si>
    <t>NSS Marketing</t>
  </si>
  <si>
    <t>Rodrigo Teixeira</t>
  </si>
  <si>
    <t>The Honest Label</t>
  </si>
  <si>
    <t>Timber Screens</t>
  </si>
  <si>
    <t>ASAPS</t>
  </si>
  <si>
    <t>Eureka Jesuits</t>
  </si>
  <si>
    <t>GINIA</t>
  </si>
  <si>
    <t>Hanro</t>
  </si>
  <si>
    <t>Overheads</t>
  </si>
  <si>
    <t>As per Time Doctor (doesn't match with Xero Name)</t>
  </si>
  <si>
    <t>As per Xero (commonly clients used)</t>
  </si>
  <si>
    <t>General Work or Others</t>
  </si>
  <si>
    <t xml:space="preserve">Icon </t>
  </si>
  <si>
    <t>Icon USA</t>
  </si>
  <si>
    <t>Asana: Client | Ted's Cameras</t>
  </si>
  <si>
    <t>Work on TEDs</t>
  </si>
  <si>
    <t>Asana: Client | Ted's Cameras Total</t>
  </si>
  <si>
    <t>Work on Connected Culture</t>
  </si>
  <si>
    <t>Gladys Clarissa</t>
  </si>
  <si>
    <t>35m</t>
  </si>
  <si>
    <t>00:35:27</t>
  </si>
  <si>
    <t>Asana: Client | AUS Icon by Design</t>
  </si>
  <si>
    <t>Work on ICON - AUS</t>
  </si>
  <si>
    <t>57m</t>
  </si>
  <si>
    <t>00:57:50</t>
  </si>
  <si>
    <t>Asana: Client | AUS Icon by Design Total</t>
  </si>
  <si>
    <t>5h 56m</t>
  </si>
  <si>
    <t>05:56:08</t>
  </si>
  <si>
    <t>Asana: Client | LUXOTIC</t>
  </si>
  <si>
    <t>Work on Luxotic</t>
  </si>
  <si>
    <t>7h 53m</t>
  </si>
  <si>
    <t>07:53:47</t>
  </si>
  <si>
    <t>Asana: Client | LUXOTIC Total</t>
  </si>
  <si>
    <t>3h 11m</t>
  </si>
  <si>
    <t>03:11:43</t>
  </si>
  <si>
    <t>7h 52m</t>
  </si>
  <si>
    <t>07:52:10</t>
  </si>
  <si>
    <t>11h 53m</t>
  </si>
  <si>
    <t>11:53:55</t>
  </si>
  <si>
    <t>12h 26m</t>
  </si>
  <si>
    <t>12:26:33</t>
  </si>
  <si>
    <t>11h 58m</t>
  </si>
  <si>
    <t>11:58:22</t>
  </si>
  <si>
    <t>3h 21m</t>
  </si>
  <si>
    <t>03:21:53</t>
  </si>
  <si>
    <t>General Work Total</t>
  </si>
  <si>
    <t>Split Gladys Clarissa salary and super costs across clients</t>
  </si>
  <si>
    <t>Ted's Cameras</t>
  </si>
  <si>
    <t>Camera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</si>
</sst>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8">
    <font>
      <sz val="12"/>
      <color indexed="0"/>
      <name val="Arial"/>
    </font>
    <font>
      <sz val="12"/>
      <color indexed="0"/>
      <name val="Arial"/>
      <family val="2"/>
    </font>
    <font>
      <b/>
      <sz val="12"/>
      <color indexed="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0"/>
      <name val="Arial"/>
      <family val="2"/>
    </font>
    <font>
      <b/>
      <sz val="9"/>
      <color indexed="8"/>
      <name val="Inherit"/>
    </font>
    <font>
      <b/>
      <sz val="12"/>
      <color indexed="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rgb="FF000000"/>
      <name val="Inherit"/>
    </font>
    <font>
      <sz val="9"/>
      <color rgb="FF333333"/>
      <name val="Inherit"/>
    </font>
    <font>
      <sz val="9"/>
      <color theme="1"/>
      <name val="Arial"/>
      <family val="2"/>
    </font>
    <font>
      <sz val="12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rgb="FFE1E1E1"/>
      </left>
      <right style="medium">
        <color rgb="FFE1E1E1"/>
      </right>
      <top style="medium">
        <color rgb="FFE1E1E1"/>
      </top>
      <bottom style="medium">
        <color rgb="FFB7C0C7"/>
      </bottom>
      <diagonal/>
    </border>
    <border>
      <left/>
      <right style="medium">
        <color rgb="FFE1E1E1"/>
      </right>
      <top style="medium">
        <color rgb="FFE1E1E1"/>
      </top>
      <bottom style="medium">
        <color rgb="FFB7C0C7"/>
      </bottom>
      <diagonal/>
    </border>
    <border>
      <left style="medium">
        <color rgb="FFE1E1E1"/>
      </left>
      <right style="medium">
        <color rgb="FFE1E1E1"/>
      </right>
      <top/>
      <bottom style="medium">
        <color rgb="FFE1E1E1"/>
      </bottom>
      <diagonal/>
    </border>
    <border>
      <left/>
      <right style="medium">
        <color rgb="FFE1E1E1"/>
      </right>
      <top/>
      <bottom style="medium">
        <color rgb="FFE1E1E1"/>
      </bottom>
      <diagonal/>
    </border>
    <border>
      <left/>
      <right/>
      <top style="medium">
        <color rgb="FF000000"/>
      </top>
      <bottom style="double">
        <color rgb="FF000000"/>
      </bottom>
      <diagonal/>
    </border>
  </borders>
  <cellStyleXfs count="3">
    <xf numFmtId="0" fontId="0" fillId="0" borderId="0">
      <alignment vertical="top"/>
      <protection locked="0"/>
    </xf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36">
    <xf numFmtId="0" fontId="0" fillId="0" borderId="0" xfId="0" applyAlignment="1" applyProtection="1"/>
    <xf numFmtId="0" fontId="0" fillId="0" borderId="0" xfId="0">
      <alignment vertical="top"/>
      <protection locked="0"/>
    </xf>
    <xf numFmtId="0" fontId="2" fillId="0" borderId="0" xfId="0" applyFont="1">
      <alignment vertical="top"/>
      <protection locked="0"/>
    </xf>
    <xf numFmtId="2" fontId="0" fillId="0" borderId="0" xfId="0" applyNumberFormat="1" applyAlignment="1" applyProtection="1"/>
    <xf numFmtId="0" fontId="3" fillId="2" borderId="0" xfId="0" applyFont="1" applyFill="1">
      <alignment vertical="top"/>
      <protection locked="0"/>
    </xf>
    <xf numFmtId="10" fontId="0" fillId="0" borderId="0" xfId="2" applyNumberFormat="1" applyFont="1"/>
    <xf numFmtId="10" fontId="12" fillId="0" borderId="0" xfId="2" applyNumberFormat="1" applyFont="1"/>
    <xf numFmtId="0" fontId="12" fillId="0" borderId="0" xfId="0" applyFont="1" applyAlignment="1" applyProtection="1">
      <alignment horizontal="center"/>
    </xf>
    <xf numFmtId="164" fontId="0" fillId="0" borderId="0" xfId="1" applyFont="1"/>
    <xf numFmtId="0" fontId="13" fillId="0" borderId="0" xfId="0" applyFont="1" applyAlignment="1" applyProtection="1"/>
    <xf numFmtId="0" fontId="12" fillId="0" borderId="1" xfId="0" applyFont="1" applyBorder="1" applyAlignment="1" applyProtection="1"/>
    <xf numFmtId="10" fontId="12" fillId="0" borderId="1" xfId="2" applyNumberFormat="1" applyFont="1" applyBorder="1"/>
    <xf numFmtId="164" fontId="12" fillId="0" borderId="1" xfId="0" applyNumberFormat="1" applyFont="1" applyBorder="1" applyAlignment="1" applyProtection="1"/>
    <xf numFmtId="0" fontId="14" fillId="0" borderId="0" xfId="0" applyFont="1" applyAlignment="1" applyProtection="1">
      <alignment vertical="center" wrapText="1"/>
    </xf>
    <xf numFmtId="0" fontId="6" fillId="0" borderId="0" xfId="0" applyFont="1" applyAlignment="1" applyProtection="1"/>
    <xf numFmtId="0" fontId="14" fillId="5" borderId="2" xfId="0" applyFont="1" applyFill="1" applyBorder="1" applyAlignment="1" applyProtection="1">
      <alignment vertical="top" wrapText="1"/>
    </xf>
    <xf numFmtId="0" fontId="14" fillId="5" borderId="3" xfId="0" applyFont="1" applyFill="1" applyBorder="1" applyAlignment="1" applyProtection="1">
      <alignment vertical="top" wrapText="1"/>
    </xf>
    <xf numFmtId="0" fontId="14" fillId="5" borderId="3" xfId="0" applyFont="1" applyFill="1" applyBorder="1" applyAlignment="1" applyProtection="1">
      <alignment horizontal="right" vertical="top" wrapText="1"/>
    </xf>
    <xf numFmtId="0" fontId="14" fillId="6" borderId="4" xfId="0" applyFont="1" applyFill="1" applyBorder="1" applyAlignment="1" applyProtection="1">
      <alignment vertical="top" wrapText="1"/>
    </xf>
    <xf numFmtId="0" fontId="14" fillId="6" borderId="5" xfId="0" applyFont="1" applyFill="1" applyBorder="1" applyAlignment="1" applyProtection="1">
      <alignment vertical="top" wrapText="1"/>
    </xf>
    <xf numFmtId="0" fontId="14" fillId="6" borderId="5" xfId="0" applyFont="1" applyFill="1" applyBorder="1" applyAlignment="1" applyProtection="1">
      <alignment horizontal="right" vertical="top" wrapText="1"/>
    </xf>
    <xf numFmtId="4" fontId="14" fillId="6" borderId="5" xfId="0" applyNumberFormat="1" applyFont="1" applyFill="1" applyBorder="1" applyAlignment="1" applyProtection="1">
      <alignment horizontal="right" vertical="top" wrapText="1"/>
    </xf>
    <xf numFmtId="0" fontId="14" fillId="0" borderId="6" xfId="0" applyFont="1" applyBorder="1" applyAlignment="1" applyProtection="1">
      <alignment vertical="center" wrapText="1"/>
    </xf>
    <xf numFmtId="0" fontId="15" fillId="0" borderId="0" xfId="0" applyFont="1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top" wrapText="1"/>
    </xf>
    <xf numFmtId="0" fontId="6" fillId="0" borderId="0" xfId="0" applyFont="1" applyAlignment="1" applyProtection="1">
      <alignment horizontal="left" vertical="top"/>
    </xf>
    <xf numFmtId="0" fontId="8" fillId="0" borderId="0" xfId="0" applyFont="1">
      <alignment vertical="top"/>
      <protection locked="0"/>
    </xf>
    <xf numFmtId="0" fontId="9" fillId="0" borderId="0" xfId="0" applyFont="1" applyAlignment="1" applyProtection="1">
      <alignment horizontal="center" vertical="center" wrapText="1"/>
    </xf>
    <xf numFmtId="0" fontId="6" fillId="0" borderId="0" xfId="0" applyFont="1">
      <alignment vertical="top"/>
      <protection locked="0"/>
    </xf>
    <xf numFmtId="0" fontId="10" fillId="0" borderId="0" xfId="0" applyFont="1" applyAlignment="1" applyProtection="1"/>
    <xf numFmtId="0" fontId="1" fillId="0" borderId="0" xfId="0" applyFont="1" applyAlignment="1" applyProtection="1"/>
    <xf numFmtId="0" fontId="6" fillId="0" borderId="0" xfId="0" applyFont="1" applyAlignment="1" applyProtection="1">
      <alignment vertical="center"/>
    </xf>
    <xf numFmtId="0" fontId="0" fillId="3" borderId="0" xfId="0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3" fillId="0" borderId="0" xfId="0" applyFont="1">
      <alignment vertical="top"/>
      <protection locked="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1341120</xdr:colOff>
          <xdr:row>0</xdr:row>
          <xdr:rowOff>99060</xdr:rowOff>
        </xdr:from>
        <xdr:to>
          <xdr:col>0</xdr:col>
          <xdr:colOff>2682240</xdr:colOff>
          <xdr:row>0</xdr:row>
          <xdr:rowOff>571500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Automate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129540</xdr:colOff>
      <xdr:row>1</xdr:row>
      <xdr:rowOff>144780</xdr:rowOff>
    </xdr:to>
    <xdr:pic>
      <xdr:nvPicPr>
        <xdr:cNvPr id="1034" name="Picture 1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087600" cy="33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381000</xdr:colOff>
      <xdr:row>1</xdr:row>
      <xdr:rowOff>144780</xdr:rowOff>
    </xdr:to>
    <xdr:pic>
      <xdr:nvPicPr>
        <xdr:cNvPr id="2059" name="Picture 1">
          <a:extLst>
            <a:ext uri="{FF2B5EF4-FFF2-40B4-BE49-F238E27FC236}">
              <a16:creationId xmlns:a16="http://schemas.microsoft.com/office/drawing/2014/main" id="{00000000-0008-0000-06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721340" cy="33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jects___Tasks"/>
  <dimension ref="A1:J50"/>
  <sheetViews>
    <sheetView zoomScale="80" zoomScaleNormal="80" workbookViewId="0">
      <selection activeCell="G26" sqref="G26:G44"/>
    </sheetView>
  </sheetViews>
  <sheetFormatPr defaultRowHeight="15" outlineLevelRow="2"/>
  <cols>
    <col min="1" max="1" width="36.7265625" bestFit="1" customWidth="1"/>
    <col min="2" max="2" width="15.90625" bestFit="1" customWidth="1"/>
    <col min="3" max="3" width="5.1796875" customWidth="1"/>
    <col min="4" max="4" width="20.54296875" bestFit="1" customWidth="1"/>
    <col min="5" max="5" width="7.7265625" customWidth="1"/>
    <col min="6" max="6" width="19.08984375" bestFit="1" customWidth="1"/>
  </cols>
  <sheetData>
    <row r="1" spans="1:10" ht="15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94</v>
      </c>
      <c r="H1" s="4" t="s">
        <v>95</v>
      </c>
    </row>
    <row r="2" spans="1:10">
      <c r="A2" s="1"/>
      <c r="B2" s="1" t="s">
        <v>23</v>
      </c>
      <c r="C2" s="1"/>
      <c r="D2" s="1"/>
      <c r="E2" s="1"/>
      <c r="F2" s="1"/>
      <c r="G2">
        <v>5511.54</v>
      </c>
      <c r="H2">
        <v>600.77</v>
      </c>
    </row>
    <row r="3" spans="1:10" ht="1.2" customHeight="1" outlineLevel="2">
      <c r="A3" s="1" t="s">
        <v>19</v>
      </c>
      <c r="B3" s="1" t="s">
        <v>23</v>
      </c>
      <c r="C3" s="1" t="s">
        <v>20</v>
      </c>
      <c r="D3" s="1">
        <v>2.32694</v>
      </c>
      <c r="E3" s="1" t="s">
        <v>24</v>
      </c>
      <c r="F3" s="1" t="s">
        <v>25</v>
      </c>
    </row>
    <row r="4" spans="1:10" ht="15" customHeight="1" outlineLevel="1">
      <c r="A4" s="2" t="s">
        <v>82</v>
      </c>
      <c r="B4" s="1"/>
      <c r="C4" s="1"/>
      <c r="D4" s="1">
        <f>SUBTOTAL(9,D3:D3)</f>
        <v>2.32694</v>
      </c>
      <c r="E4" s="1"/>
      <c r="F4" s="1">
        <f>SUBTOTAL(9,F3:F3)</f>
        <v>0</v>
      </c>
      <c r="G4" s="3">
        <f>$G$2*D4/$D$20</f>
        <v>163.05989694378621</v>
      </c>
      <c r="H4" s="3">
        <f>$H$2*D4/$D$20</f>
        <v>17.773887930944607</v>
      </c>
      <c r="J4">
        <v>163.05989694378599</v>
      </c>
    </row>
    <row r="5" spans="1:10" hidden="1" outlineLevel="2">
      <c r="A5" s="1" t="s">
        <v>26</v>
      </c>
      <c r="B5" s="1" t="s">
        <v>23</v>
      </c>
      <c r="C5" s="1" t="s">
        <v>27</v>
      </c>
      <c r="D5" s="1">
        <v>6.0130600000000003</v>
      </c>
      <c r="E5" s="1" t="s">
        <v>30</v>
      </c>
      <c r="F5" s="1" t="s">
        <v>31</v>
      </c>
      <c r="G5" s="3"/>
      <c r="H5" s="3"/>
    </row>
    <row r="6" spans="1:10" ht="15.6" outlineLevel="1" collapsed="1">
      <c r="A6" s="2" t="s">
        <v>83</v>
      </c>
      <c r="B6" s="1"/>
      <c r="C6" s="1"/>
      <c r="D6" s="1">
        <f>SUBTOTAL(9,D5:D5)</f>
        <v>6.0130600000000003</v>
      </c>
      <c r="E6" s="1"/>
      <c r="F6" s="1">
        <f>SUBTOTAL(9,F5:F5)</f>
        <v>0</v>
      </c>
      <c r="G6" s="3">
        <f>$G$2*D6/$D$20</f>
        <v>421.36408498577657</v>
      </c>
      <c r="H6" s="3">
        <f>$H$2*D6/$D$20</f>
        <v>45.929613381542183</v>
      </c>
      <c r="J6">
        <v>421.36408498577657</v>
      </c>
    </row>
    <row r="7" spans="1:10" hidden="1" outlineLevel="2">
      <c r="A7" s="1" t="s">
        <v>32</v>
      </c>
      <c r="B7" s="1" t="s">
        <v>23</v>
      </c>
      <c r="C7" s="1" t="s">
        <v>33</v>
      </c>
      <c r="D7" s="1">
        <v>8.9216700000000007</v>
      </c>
      <c r="E7" s="1" t="s">
        <v>36</v>
      </c>
      <c r="F7" s="1" t="s">
        <v>37</v>
      </c>
      <c r="G7" s="3"/>
      <c r="H7" s="3"/>
    </row>
    <row r="8" spans="1:10" ht="15.6" outlineLevel="1" collapsed="1">
      <c r="A8" s="2" t="s">
        <v>84</v>
      </c>
      <c r="B8" s="1"/>
      <c r="C8" s="1"/>
      <c r="D8" s="1">
        <f>SUBTOTAL(9,D7:D7)</f>
        <v>8.9216700000000007</v>
      </c>
      <c r="E8" s="1"/>
      <c r="F8" s="1">
        <f>SUBTOTAL(9,F7:F7)</f>
        <v>0</v>
      </c>
      <c r="G8" s="3">
        <f>$G$2*D8/$D$20</f>
        <v>625.18440130234092</v>
      </c>
      <c r="H8" s="3">
        <f>$H$2*D8/$D$20</f>
        <v>68.146476805104811</v>
      </c>
      <c r="J8">
        <v>625.18440130234092</v>
      </c>
    </row>
    <row r="9" spans="1:10" hidden="1" outlineLevel="2">
      <c r="A9" s="1" t="s">
        <v>38</v>
      </c>
      <c r="B9" s="1" t="s">
        <v>23</v>
      </c>
      <c r="C9" s="1" t="s">
        <v>39</v>
      </c>
      <c r="D9" s="1">
        <v>13.158609999999999</v>
      </c>
      <c r="E9" s="1" t="s">
        <v>40</v>
      </c>
      <c r="F9" s="1" t="s">
        <v>41</v>
      </c>
      <c r="G9" s="3"/>
      <c r="H9" s="3"/>
    </row>
    <row r="10" spans="1:10" ht="15.6" outlineLevel="1" collapsed="1">
      <c r="A10" s="2" t="s">
        <v>85</v>
      </c>
      <c r="B10" s="1"/>
      <c r="C10" s="1"/>
      <c r="D10" s="1">
        <f>SUBTOTAL(9,D9:D9)</f>
        <v>13.158609999999999</v>
      </c>
      <c r="E10" s="1"/>
      <c r="F10" s="1">
        <f>SUBTOTAL(9,F9:F9)</f>
        <v>0</v>
      </c>
      <c r="G10" s="3">
        <f>$G$2*D10/$D$20</f>
        <v>922.08720058251379</v>
      </c>
      <c r="H10" s="3">
        <f>$H$2*D10/$D$20</f>
        <v>100.50953589994026</v>
      </c>
      <c r="J10">
        <v>922.08720058251379</v>
      </c>
    </row>
    <row r="11" spans="1:10" hidden="1" outlineLevel="2">
      <c r="A11" s="1" t="s">
        <v>42</v>
      </c>
      <c r="B11" s="1" t="s">
        <v>23</v>
      </c>
      <c r="C11" s="1" t="s">
        <v>43</v>
      </c>
      <c r="D11" s="1">
        <v>12.57361</v>
      </c>
      <c r="E11" s="1" t="s">
        <v>46</v>
      </c>
      <c r="F11" s="1" t="s">
        <v>47</v>
      </c>
      <c r="G11" s="3"/>
      <c r="H11" s="3"/>
    </row>
    <row r="12" spans="1:10" ht="15.6" outlineLevel="1" collapsed="1">
      <c r="A12" s="2" t="s">
        <v>86</v>
      </c>
      <c r="B12" s="1"/>
      <c r="C12" s="1"/>
      <c r="D12" s="1">
        <f>SUBTOTAL(9,D11:D11)</f>
        <v>12.57361</v>
      </c>
      <c r="E12" s="1"/>
      <c r="F12" s="1">
        <f>SUBTOTAL(9,F11:F11)</f>
        <v>0</v>
      </c>
      <c r="G12" s="3">
        <f>$G$2*D12/$D$20</f>
        <v>881.09343206587175</v>
      </c>
      <c r="H12" s="3">
        <f>$H$2*D12/$D$20</f>
        <v>96.041124836654333</v>
      </c>
      <c r="J12">
        <v>881.09343206587175</v>
      </c>
    </row>
    <row r="13" spans="1:10" hidden="1" outlineLevel="2">
      <c r="A13" s="1" t="s">
        <v>48</v>
      </c>
      <c r="B13" s="1" t="s">
        <v>23</v>
      </c>
      <c r="C13" s="1" t="s">
        <v>49</v>
      </c>
      <c r="D13" s="1">
        <v>1.4352799999999999</v>
      </c>
      <c r="E13" s="1" t="s">
        <v>50</v>
      </c>
      <c r="F13" s="1" t="s">
        <v>51</v>
      </c>
      <c r="G13" s="3"/>
      <c r="H13" s="3"/>
    </row>
    <row r="14" spans="1:10" hidden="1" outlineLevel="2">
      <c r="A14" s="1" t="s">
        <v>48</v>
      </c>
      <c r="B14" s="1" t="s">
        <v>23</v>
      </c>
      <c r="C14" s="1" t="s">
        <v>52</v>
      </c>
      <c r="D14" s="1">
        <v>3.73333</v>
      </c>
      <c r="E14" s="1" t="s">
        <v>53</v>
      </c>
      <c r="F14" s="1" t="s">
        <v>54</v>
      </c>
      <c r="G14" s="3"/>
      <c r="H14" s="3"/>
    </row>
    <row r="15" spans="1:10" ht="15.6" outlineLevel="1" collapsed="1">
      <c r="A15" s="2" t="s">
        <v>87</v>
      </c>
      <c r="B15" s="1"/>
      <c r="C15" s="1"/>
      <c r="D15" s="1">
        <f>SUBTOTAL(9,D13:D14)</f>
        <v>5.1686100000000001</v>
      </c>
      <c r="E15" s="1"/>
      <c r="F15" s="1">
        <f>SUBTOTAL(9,F13:F14)</f>
        <v>0</v>
      </c>
      <c r="G15" s="3">
        <f>$G$2*D15/$D$20</f>
        <v>362.18940494495899</v>
      </c>
      <c r="H15" s="3">
        <f>$H$2*D15/$D$20</f>
        <v>39.479442915915151</v>
      </c>
      <c r="J15">
        <v>362.18940494495899</v>
      </c>
    </row>
    <row r="16" spans="1:10" hidden="1" outlineLevel="2">
      <c r="A16" s="1" t="s">
        <v>62</v>
      </c>
      <c r="B16" s="1" t="s">
        <v>23</v>
      </c>
      <c r="C16" s="1" t="s">
        <v>63</v>
      </c>
      <c r="D16" s="1">
        <v>18.29833</v>
      </c>
      <c r="E16" s="1" t="s">
        <v>64</v>
      </c>
      <c r="F16" s="1" t="s">
        <v>65</v>
      </c>
      <c r="G16" s="3"/>
      <c r="H16" s="3"/>
    </row>
    <row r="17" spans="1:10" ht="15.6" outlineLevel="1" collapsed="1">
      <c r="A17" s="2" t="s">
        <v>88</v>
      </c>
      <c r="B17" s="1"/>
      <c r="C17" s="1"/>
      <c r="D17" s="1">
        <f>SUBTOTAL(9,D16:D16)</f>
        <v>18.29833</v>
      </c>
      <c r="E17" s="1"/>
      <c r="F17" s="1">
        <f>SUBTOTAL(9,F16:F16)</f>
        <v>0</v>
      </c>
      <c r="G17" s="3">
        <f>$G$2*D17/$D$20</f>
        <v>1282.2521440361124</v>
      </c>
      <c r="H17" s="3">
        <f>$H$2*D17/$D$20</f>
        <v>139.7683080541147</v>
      </c>
      <c r="J17">
        <v>1282.2521440361124</v>
      </c>
    </row>
    <row r="18" spans="1:10" hidden="1" outlineLevel="2">
      <c r="A18" s="1" t="s">
        <v>66</v>
      </c>
      <c r="B18" s="1" t="s">
        <v>23</v>
      </c>
      <c r="C18" s="1" t="s">
        <v>67</v>
      </c>
      <c r="D18" s="1">
        <v>12.19139</v>
      </c>
      <c r="E18" s="1" t="s">
        <v>70</v>
      </c>
      <c r="F18" s="1" t="s">
        <v>71</v>
      </c>
      <c r="G18" s="3"/>
      <c r="H18" s="3"/>
    </row>
    <row r="19" spans="1:10" ht="15.6" outlineLevel="1" collapsed="1">
      <c r="A19" s="2" t="s">
        <v>89</v>
      </c>
      <c r="B19" s="1"/>
      <c r="C19" s="1"/>
      <c r="D19" s="1">
        <f>SUBTOTAL(9,D18:D18)</f>
        <v>12.19139</v>
      </c>
      <c r="E19" s="1"/>
      <c r="F19" s="1">
        <f>SUBTOTAL(9,F18:F18)</f>
        <v>0</v>
      </c>
      <c r="G19" s="3">
        <f>$G$2*D19/$D$20</f>
        <v>854.30943513863951</v>
      </c>
      <c r="H19" s="3">
        <f>$H$2*D19/$D$20</f>
        <v>93.121610175783971</v>
      </c>
      <c r="J19">
        <v>854.30943513863951</v>
      </c>
    </row>
    <row r="20" spans="1:10" ht="15.6">
      <c r="A20" s="2" t="s">
        <v>90</v>
      </c>
      <c r="B20" s="1"/>
      <c r="C20" s="1"/>
      <c r="D20" s="1">
        <f>SUBTOTAL(9,D3:D18)</f>
        <v>78.65222</v>
      </c>
      <c r="E20" s="1"/>
      <c r="F20" s="1">
        <f>SUBTOTAL(9,F3:F18)</f>
        <v>0</v>
      </c>
    </row>
    <row r="21" spans="1:10">
      <c r="A21" s="1"/>
      <c r="B21" s="1"/>
      <c r="C21" s="1"/>
      <c r="D21" s="1"/>
      <c r="E21" s="1"/>
      <c r="F21" s="1"/>
    </row>
    <row r="22" spans="1:10">
      <c r="A22" s="1"/>
      <c r="B22" s="1"/>
      <c r="C22" s="1"/>
      <c r="D22" s="1"/>
      <c r="E22" s="1"/>
      <c r="F22" s="1"/>
    </row>
    <row r="23" spans="1:10" ht="15.6">
      <c r="A23" s="1" t="s">
        <v>0</v>
      </c>
      <c r="B23" s="1" t="s">
        <v>1</v>
      </c>
      <c r="C23" s="1" t="s">
        <v>2</v>
      </c>
      <c r="D23" s="1" t="s">
        <v>3</v>
      </c>
      <c r="E23" s="1" t="s">
        <v>4</v>
      </c>
      <c r="F23" s="1" t="s">
        <v>5</v>
      </c>
      <c r="G23" s="4" t="s">
        <v>94</v>
      </c>
      <c r="H23" s="4" t="s">
        <v>95</v>
      </c>
    </row>
    <row r="24" spans="1:10">
      <c r="A24" s="1"/>
      <c r="B24" s="1" t="s">
        <v>7</v>
      </c>
      <c r="C24" s="1"/>
      <c r="D24" s="1"/>
      <c r="E24" s="1"/>
      <c r="F24" s="1"/>
      <c r="G24">
        <v>2000</v>
      </c>
      <c r="H24">
        <v>220</v>
      </c>
    </row>
    <row r="25" spans="1:10" hidden="1" outlineLevel="2">
      <c r="A25" s="1" t="s">
        <v>6</v>
      </c>
      <c r="B25" s="1" t="s">
        <v>7</v>
      </c>
      <c r="C25" s="1" t="s">
        <v>8</v>
      </c>
      <c r="D25" s="1">
        <v>1.95306</v>
      </c>
      <c r="E25" s="1" t="s">
        <v>9</v>
      </c>
      <c r="F25" s="1" t="s">
        <v>10</v>
      </c>
    </row>
    <row r="26" spans="1:10" ht="15.6" outlineLevel="1" collapsed="1">
      <c r="A26" s="2" t="s">
        <v>91</v>
      </c>
      <c r="B26" s="1"/>
      <c r="C26" s="1"/>
      <c r="D26" s="1">
        <f>SUBTOTAL(9,D25:D25)</f>
        <v>1.95306</v>
      </c>
      <c r="E26" s="1"/>
      <c r="F26" s="1">
        <f>SUBTOTAL(9,F25:F25)</f>
        <v>0</v>
      </c>
      <c r="G26" s="3">
        <f>$G$24*D26/$D$45</f>
        <v>102.21803174314071</v>
      </c>
      <c r="H26" s="3">
        <f>$H$24*D26/$D$45</f>
        <v>11.24398349174548</v>
      </c>
    </row>
    <row r="27" spans="1:10" hidden="1" outlineLevel="2">
      <c r="A27" s="1" t="s">
        <v>11</v>
      </c>
      <c r="B27" s="1" t="s">
        <v>7</v>
      </c>
      <c r="C27" s="1" t="s">
        <v>12</v>
      </c>
      <c r="D27" s="1">
        <v>2.3816700000000002</v>
      </c>
      <c r="E27" s="1" t="s">
        <v>13</v>
      </c>
      <c r="F27" s="1" t="s">
        <v>14</v>
      </c>
    </row>
    <row r="28" spans="1:10" ht="15.6" outlineLevel="1" collapsed="1">
      <c r="A28" s="27" t="s">
        <v>92</v>
      </c>
      <c r="B28" s="1"/>
      <c r="C28" s="1"/>
      <c r="D28" s="1">
        <f>SUBTOTAL(9,D27:D27)</f>
        <v>2.3816700000000002</v>
      </c>
      <c r="E28" s="1"/>
      <c r="F28" s="1">
        <f>SUBTOTAL(9,F27:F27)</f>
        <v>0</v>
      </c>
      <c r="G28" s="3">
        <f>$G$24*D28/$D$45</f>
        <v>124.65035363055205</v>
      </c>
      <c r="H28" s="3">
        <f>$H$24*D28/$D$45</f>
        <v>13.711538899360724</v>
      </c>
    </row>
    <row r="29" spans="1:10" hidden="1" outlineLevel="2">
      <c r="A29" s="1" t="s">
        <v>15</v>
      </c>
      <c r="B29" s="1" t="s">
        <v>7</v>
      </c>
      <c r="C29" s="1" t="s">
        <v>16</v>
      </c>
      <c r="D29" s="1">
        <v>2.82944</v>
      </c>
      <c r="E29" s="1" t="s">
        <v>17</v>
      </c>
      <c r="F29" s="1" t="s">
        <v>18</v>
      </c>
    </row>
    <row r="30" spans="1:10" ht="15.6" outlineLevel="1" collapsed="1">
      <c r="A30" s="2" t="s">
        <v>93</v>
      </c>
      <c r="B30" s="1"/>
      <c r="C30" s="1"/>
      <c r="D30" s="1">
        <f>SUBTOTAL(9,D29:D29)</f>
        <v>2.82944</v>
      </c>
      <c r="E30" s="1"/>
      <c r="F30" s="1">
        <f>SUBTOTAL(9,F29:F29)</f>
        <v>0</v>
      </c>
      <c r="G30" s="3">
        <f>$G$24*D30/$D$45</f>
        <v>148.08545960457542</v>
      </c>
      <c r="H30" s="3">
        <f>$H$24*D30/$D$45</f>
        <v>16.289400556503299</v>
      </c>
    </row>
    <row r="31" spans="1:10" hidden="1" outlineLevel="2">
      <c r="A31" s="1" t="s">
        <v>19</v>
      </c>
      <c r="B31" s="1" t="s">
        <v>7</v>
      </c>
      <c r="C31" s="1" t="s">
        <v>20</v>
      </c>
      <c r="D31" s="1">
        <v>1.5536099999999999</v>
      </c>
      <c r="E31" s="1" t="s">
        <v>21</v>
      </c>
      <c r="F31" s="1" t="s">
        <v>22</v>
      </c>
    </row>
    <row r="32" spans="1:10" ht="15.6" outlineLevel="1" collapsed="1">
      <c r="A32" s="2" t="s">
        <v>82</v>
      </c>
      <c r="B32" s="1"/>
      <c r="C32" s="1"/>
      <c r="D32" s="1">
        <f>SUBTOTAL(9,D31:D31)</f>
        <v>1.5536099999999999</v>
      </c>
      <c r="E32" s="1"/>
      <c r="F32" s="1">
        <f>SUBTOTAL(9,F31:F31)</f>
        <v>0</v>
      </c>
      <c r="G32" s="3">
        <f>$G$24*D32/$D$45</f>
        <v>81.311867682744435</v>
      </c>
      <c r="H32" s="3">
        <f>$H$24*D32/$D$45</f>
        <v>8.9443054451018877</v>
      </c>
    </row>
    <row r="33" spans="1:8" hidden="1" outlineLevel="2">
      <c r="A33" s="1" t="s">
        <v>26</v>
      </c>
      <c r="B33" s="1" t="s">
        <v>7</v>
      </c>
      <c r="C33" s="1" t="s">
        <v>27</v>
      </c>
      <c r="D33" s="1">
        <v>4.57972</v>
      </c>
      <c r="E33" s="1" t="s">
        <v>28</v>
      </c>
      <c r="F33" s="1" t="s">
        <v>29</v>
      </c>
    </row>
    <row r="34" spans="1:8" ht="15.6" outlineLevel="1" collapsed="1">
      <c r="A34" s="2" t="s">
        <v>83</v>
      </c>
      <c r="B34" s="1"/>
      <c r="C34" s="1"/>
      <c r="D34" s="1">
        <f>SUBTOTAL(9,D33:D33)</f>
        <v>4.57972</v>
      </c>
      <c r="E34" s="1"/>
      <c r="F34" s="1">
        <f>SUBTOTAL(9,F33:F33)</f>
        <v>0</v>
      </c>
      <c r="G34" s="3">
        <f>$G$24*D34/$D$45</f>
        <v>239.69051863982492</v>
      </c>
      <c r="H34" s="3">
        <f>$H$24*D34/$D$45</f>
        <v>26.365957050380739</v>
      </c>
    </row>
    <row r="35" spans="1:8" hidden="1" outlineLevel="2">
      <c r="A35" s="1" t="s">
        <v>32</v>
      </c>
      <c r="B35" s="1" t="s">
        <v>7</v>
      </c>
      <c r="C35" s="1" t="s">
        <v>33</v>
      </c>
      <c r="D35" s="1">
        <v>3.56528</v>
      </c>
      <c r="E35" s="1" t="s">
        <v>34</v>
      </c>
      <c r="F35" s="1" t="s">
        <v>35</v>
      </c>
    </row>
    <row r="36" spans="1:8" ht="15.6" outlineLevel="1" collapsed="1">
      <c r="A36" s="2" t="s">
        <v>84</v>
      </c>
      <c r="B36" s="1"/>
      <c r="C36" s="1"/>
      <c r="D36" s="1">
        <f>SUBTOTAL(9,D35:D35)</f>
        <v>3.56528</v>
      </c>
      <c r="E36" s="1"/>
      <c r="F36" s="1">
        <f>SUBTOTAL(9,F35:F35)</f>
        <v>0</v>
      </c>
      <c r="G36" s="3">
        <f>$G$24*D36/$D$45</f>
        <v>186.59739291838693</v>
      </c>
      <c r="H36" s="3">
        <f>$H$24*D36/$D$45</f>
        <v>20.52571322102256</v>
      </c>
    </row>
    <row r="37" spans="1:8" hidden="1" outlineLevel="2">
      <c r="A37" s="1" t="s">
        <v>42</v>
      </c>
      <c r="B37" s="1" t="s">
        <v>7</v>
      </c>
      <c r="C37" s="1" t="s">
        <v>43</v>
      </c>
      <c r="D37" s="1">
        <v>1.895</v>
      </c>
      <c r="E37" s="1" t="s">
        <v>44</v>
      </c>
      <c r="F37" s="1" t="s">
        <v>45</v>
      </c>
    </row>
    <row r="38" spans="1:8" ht="15.6" outlineLevel="1" collapsed="1">
      <c r="A38" s="2" t="s">
        <v>86</v>
      </c>
      <c r="B38" s="1"/>
      <c r="C38" s="1"/>
      <c r="D38" s="1">
        <f>SUBTOTAL(9,D37:D37)</f>
        <v>1.895</v>
      </c>
      <c r="E38" s="1"/>
      <c r="F38" s="1">
        <f>SUBTOTAL(9,F37:F37)</f>
        <v>0</v>
      </c>
      <c r="G38" s="3">
        <f>$G$24*D38/$D$45</f>
        <v>99.179323806361126</v>
      </c>
      <c r="H38" s="3">
        <f>$H$24*D38/$D$45</f>
        <v>10.909725618699724</v>
      </c>
    </row>
    <row r="39" spans="1:8" hidden="1" outlineLevel="2">
      <c r="A39" s="1" t="s">
        <v>48</v>
      </c>
      <c r="B39" s="1" t="s">
        <v>7</v>
      </c>
      <c r="C39" s="1" t="s">
        <v>52</v>
      </c>
      <c r="D39" s="1">
        <v>3.5583300000000002</v>
      </c>
      <c r="E39" s="1" t="s">
        <v>34</v>
      </c>
      <c r="F39" s="1" t="s">
        <v>55</v>
      </c>
    </row>
    <row r="40" spans="1:8" hidden="1" outlineLevel="2">
      <c r="A40" s="1" t="s">
        <v>48</v>
      </c>
      <c r="B40" s="1" t="s">
        <v>7</v>
      </c>
      <c r="C40" s="1" t="s">
        <v>56</v>
      </c>
      <c r="D40" s="1">
        <v>4.5536099999999999</v>
      </c>
      <c r="E40" s="1" t="s">
        <v>57</v>
      </c>
      <c r="F40" s="1" t="s">
        <v>58</v>
      </c>
    </row>
    <row r="41" spans="1:8" hidden="1" outlineLevel="2">
      <c r="A41" s="1" t="s">
        <v>48</v>
      </c>
      <c r="B41" s="1" t="s">
        <v>7</v>
      </c>
      <c r="C41" s="1" t="s">
        <v>59</v>
      </c>
      <c r="D41" s="1">
        <v>4.6722200000000003</v>
      </c>
      <c r="E41" s="1" t="s">
        <v>60</v>
      </c>
      <c r="F41" s="1" t="s">
        <v>61</v>
      </c>
    </row>
    <row r="42" spans="1:8" ht="15.6" outlineLevel="1" collapsed="1">
      <c r="A42" s="2" t="s">
        <v>87</v>
      </c>
      <c r="B42" s="1"/>
      <c r="C42" s="1"/>
      <c r="D42" s="1">
        <f>SUBTOTAL(9,D39:D41)</f>
        <v>12.78416</v>
      </c>
      <c r="E42" s="1"/>
      <c r="F42" s="1">
        <f>SUBTOTAL(9,F39:F41)</f>
        <v>0</v>
      </c>
      <c r="G42" s="3">
        <f>$G$24*D42/$D$45</f>
        <v>669.08936371099196</v>
      </c>
      <c r="H42" s="3">
        <f>$H$24*D42/$D$45</f>
        <v>73.599830008209111</v>
      </c>
    </row>
    <row r="43" spans="1:8" hidden="1" outlineLevel="2">
      <c r="A43" s="1" t="s">
        <v>66</v>
      </c>
      <c r="B43" s="1" t="s">
        <v>7</v>
      </c>
      <c r="C43" s="1" t="s">
        <v>67</v>
      </c>
      <c r="D43" s="1">
        <v>6.6716699999999998</v>
      </c>
      <c r="E43" s="1" t="s">
        <v>68</v>
      </c>
      <c r="F43" s="1" t="s">
        <v>69</v>
      </c>
    </row>
    <row r="44" spans="1:8" ht="15.6" outlineLevel="1" collapsed="1">
      <c r="A44" s="2" t="s">
        <v>89</v>
      </c>
      <c r="B44" s="1"/>
      <c r="C44" s="1"/>
      <c r="D44" s="1">
        <f>SUBTOTAL(9,D43:D43)</f>
        <v>6.6716699999999998</v>
      </c>
      <c r="E44" s="1"/>
      <c r="F44" s="1">
        <f>SUBTOTAL(9,F43:F43)</f>
        <v>0</v>
      </c>
      <c r="G44" s="3">
        <f>$G$24*D44/$D$45</f>
        <v>349.17768826342234</v>
      </c>
      <c r="H44" s="3">
        <f>$H$24*D44/$D$45</f>
        <v>38.409545708976459</v>
      </c>
    </row>
    <row r="45" spans="1:8" ht="15.6">
      <c r="A45" s="2" t="s">
        <v>90</v>
      </c>
      <c r="B45" s="1"/>
      <c r="C45" s="1"/>
      <c r="D45" s="1">
        <f>SUBTOTAL(9,D25:D43)</f>
        <v>38.213610000000003</v>
      </c>
      <c r="E45" s="1"/>
      <c r="F45" s="1">
        <f>SUBTOTAL(9,F25:F43)</f>
        <v>0</v>
      </c>
    </row>
    <row r="46" spans="1:8">
      <c r="A46" s="1"/>
      <c r="B46" s="1"/>
      <c r="C46" s="1"/>
      <c r="D46" s="1"/>
      <c r="E46" s="1"/>
      <c r="F46" s="1"/>
    </row>
    <row r="47" spans="1:8">
      <c r="A47" s="1"/>
      <c r="B47" s="1"/>
      <c r="C47" s="1"/>
      <c r="D47" s="1"/>
      <c r="E47" s="1"/>
      <c r="F47" s="1"/>
    </row>
    <row r="48" spans="1:8">
      <c r="A48" s="1"/>
      <c r="B48" s="1"/>
      <c r="C48" s="1"/>
      <c r="D48" s="1"/>
      <c r="E48" s="1"/>
      <c r="F48" s="1"/>
    </row>
    <row r="49" spans="1:6">
      <c r="A49" s="1" t="s">
        <v>72</v>
      </c>
      <c r="B49" s="1" t="s">
        <v>73</v>
      </c>
      <c r="C49" s="1" t="s">
        <v>74</v>
      </c>
      <c r="D49" s="1" t="s">
        <v>75</v>
      </c>
      <c r="E49" s="1" t="s">
        <v>76</v>
      </c>
      <c r="F49" s="1" t="s">
        <v>77</v>
      </c>
    </row>
    <row r="50" spans="1:6">
      <c r="A50" s="1" t="s">
        <v>72</v>
      </c>
      <c r="B50" s="1" t="s">
        <v>73</v>
      </c>
      <c r="C50" s="1" t="s">
        <v>78</v>
      </c>
      <c r="D50" s="1" t="s">
        <v>79</v>
      </c>
      <c r="E50" s="1" t="s">
        <v>80</v>
      </c>
      <c r="F50" s="1" t="s">
        <v>81</v>
      </c>
    </row>
  </sheetData>
  <pageMargins left="0.75" right="0.75" top="1" bottom="1" header="0.5" footer="0.5"/>
  <ignoredErrors>
    <ignoredError sqref="A1:F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H23"/>
  <sheetViews>
    <sheetView workbookViewId="0">
      <selection activeCell="A2" sqref="A2:H23"/>
    </sheetView>
  </sheetViews>
  <sheetFormatPr defaultRowHeight="15"/>
  <cols>
    <col min="1" max="1" width="39.08984375" bestFit="1" customWidth="1"/>
    <col min="2" max="2" width="15.36328125" bestFit="1" customWidth="1"/>
    <col min="3" max="3" width="18" bestFit="1" customWidth="1"/>
    <col min="4" max="4" width="20.1796875" bestFit="1" customWidth="1"/>
    <col min="5" max="5" width="27" bestFit="1" customWidth="1"/>
    <col min="6" max="6" width="18.7265625" bestFit="1" customWidth="1"/>
    <col min="7" max="7" width="9" bestFit="1" customWidth="1"/>
    <col min="8" max="8" width="6.81640625" bestFit="1" customWidth="1"/>
  </cols>
  <sheetData>
    <row r="1" spans="1:8" ht="76.2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94</v>
      </c>
      <c r="H1" s="4" t="s">
        <v>95</v>
      </c>
    </row>
    <row r="2" spans="1:8" ht="15.6">
      <c r="A2" s="35"/>
      <c r="B2" s="1" t="s">
        <v>161</v>
      </c>
      <c r="C2" s="35"/>
      <c r="D2" s="35"/>
      <c r="E2" s="35"/>
      <c r="F2" s="35"/>
      <c r="G2">
        <v>2307.69</v>
      </c>
      <c r="H2">
        <v>253.85</v>
      </c>
    </row>
    <row r="3" spans="1:8">
      <c r="A3" s="1" t="s">
        <v>15</v>
      </c>
      <c r="B3" s="1" t="s">
        <v>161</v>
      </c>
      <c r="C3" s="1" t="s">
        <v>16</v>
      </c>
      <c r="D3" s="1">
        <v>0.59082999999999997</v>
      </c>
      <c r="E3" s="1" t="s">
        <v>162</v>
      </c>
      <c r="F3" s="1" t="s">
        <v>163</v>
      </c>
    </row>
    <row r="4" spans="1:8" ht="15.6">
      <c r="A4" s="2" t="s">
        <v>93</v>
      </c>
      <c r="B4" s="1"/>
      <c r="C4" s="1"/>
      <c r="D4" s="1">
        <v>0.59082999999999997</v>
      </c>
      <c r="E4" s="1"/>
      <c r="F4" s="1">
        <v>0</v>
      </c>
      <c r="G4" s="3">
        <v>20.617760210192042</v>
      </c>
      <c r="H4" s="3">
        <v>2.267990254045062</v>
      </c>
    </row>
    <row r="5" spans="1:8">
      <c r="A5" s="1" t="s">
        <v>164</v>
      </c>
      <c r="B5" s="1" t="s">
        <v>161</v>
      </c>
      <c r="C5" s="1" t="s">
        <v>165</v>
      </c>
      <c r="D5" s="1">
        <v>0.96389000000000002</v>
      </c>
      <c r="E5" s="1" t="s">
        <v>166</v>
      </c>
      <c r="F5" s="1" t="s">
        <v>167</v>
      </c>
      <c r="G5" s="3"/>
      <c r="H5" s="3"/>
    </row>
    <row r="6" spans="1:8" ht="15.6">
      <c r="A6" s="2" t="s">
        <v>168</v>
      </c>
      <c r="B6" s="1"/>
      <c r="C6" s="1"/>
      <c r="D6" s="1">
        <v>0.96389000000000002</v>
      </c>
      <c r="E6" s="1"/>
      <c r="F6" s="1">
        <v>0</v>
      </c>
      <c r="G6" s="3">
        <v>33.636160805988204</v>
      </c>
      <c r="H6" s="3">
        <v>3.700037448964161</v>
      </c>
    </row>
    <row r="7" spans="1:8">
      <c r="A7" s="1" t="s">
        <v>26</v>
      </c>
      <c r="B7" s="1" t="s">
        <v>161</v>
      </c>
      <c r="C7" s="1" t="s">
        <v>27</v>
      </c>
      <c r="D7" s="1">
        <v>5.9355599999999997</v>
      </c>
      <c r="E7" s="1" t="s">
        <v>169</v>
      </c>
      <c r="F7" s="1" t="s">
        <v>170</v>
      </c>
      <c r="G7" s="3"/>
      <c r="H7" s="3"/>
    </row>
    <row r="8" spans="1:8" ht="15.6">
      <c r="A8" s="2" t="s">
        <v>83</v>
      </c>
      <c r="B8" s="1"/>
      <c r="C8" s="1"/>
      <c r="D8" s="1">
        <v>5.9355599999999997</v>
      </c>
      <c r="E8" s="1"/>
      <c r="F8" s="1">
        <v>0</v>
      </c>
      <c r="G8" s="3">
        <v>207.12887428398605</v>
      </c>
      <c r="H8" s="3">
        <v>22.78454417057311</v>
      </c>
    </row>
    <row r="9" spans="1:8">
      <c r="A9" s="1" t="s">
        <v>171</v>
      </c>
      <c r="B9" s="1" t="s">
        <v>161</v>
      </c>
      <c r="C9" s="1" t="s">
        <v>172</v>
      </c>
      <c r="D9" s="1">
        <v>7.8963900000000002</v>
      </c>
      <c r="E9" s="1" t="s">
        <v>173</v>
      </c>
      <c r="F9" s="1" t="s">
        <v>174</v>
      </c>
      <c r="G9" s="3"/>
      <c r="H9" s="3"/>
    </row>
    <row r="10" spans="1:8" ht="15.6">
      <c r="A10" s="2" t="s">
        <v>175</v>
      </c>
      <c r="B10" s="1"/>
      <c r="C10" s="1"/>
      <c r="D10" s="1">
        <v>7.8963900000000002</v>
      </c>
      <c r="E10" s="1"/>
      <c r="F10" s="1">
        <v>0</v>
      </c>
      <c r="G10" s="3">
        <v>275.55451745198849</v>
      </c>
      <c r="H10" s="3">
        <v>30.311486488734307</v>
      </c>
    </row>
    <row r="11" spans="1:8">
      <c r="A11" s="1" t="s">
        <v>157</v>
      </c>
      <c r="B11" s="1" t="s">
        <v>161</v>
      </c>
      <c r="C11" s="1" t="s">
        <v>158</v>
      </c>
      <c r="D11" s="1">
        <v>3.1952799999999999</v>
      </c>
      <c r="E11" s="1" t="s">
        <v>176</v>
      </c>
      <c r="F11" s="1" t="s">
        <v>177</v>
      </c>
      <c r="G11" s="3"/>
      <c r="H11" s="3"/>
    </row>
    <row r="12" spans="1:8">
      <c r="A12" s="1" t="s">
        <v>159</v>
      </c>
      <c r="B12" s="1"/>
      <c r="C12" s="1"/>
      <c r="D12" s="1">
        <v>3.1952799999999999</v>
      </c>
      <c r="E12" s="1"/>
      <c r="F12" s="1">
        <v>0</v>
      </c>
      <c r="G12" s="3">
        <v>111.50333741418416</v>
      </c>
      <c r="H12" s="3">
        <v>12.265565220021168</v>
      </c>
    </row>
    <row r="13" spans="1:8">
      <c r="A13" s="1" t="s">
        <v>42</v>
      </c>
      <c r="B13" s="1" t="s">
        <v>161</v>
      </c>
      <c r="C13" s="1" t="s">
        <v>43</v>
      </c>
      <c r="D13" s="1">
        <v>7.86944</v>
      </c>
      <c r="E13" s="1" t="s">
        <v>178</v>
      </c>
      <c r="F13" s="1" t="s">
        <v>179</v>
      </c>
      <c r="G13" s="3"/>
      <c r="H13" s="3"/>
    </row>
    <row r="14" spans="1:8" ht="15.6">
      <c r="A14" s="2" t="s">
        <v>86</v>
      </c>
      <c r="B14" s="1"/>
      <c r="C14" s="1"/>
      <c r="D14" s="1">
        <v>7.86944</v>
      </c>
      <c r="E14" s="1"/>
      <c r="F14" s="1">
        <v>0</v>
      </c>
      <c r="G14" s="3">
        <v>274.61406311205201</v>
      </c>
      <c r="H14" s="3">
        <v>30.208034840465743</v>
      </c>
    </row>
    <row r="15" spans="1:8" ht="15.6">
      <c r="A15" s="2" t="s">
        <v>38</v>
      </c>
      <c r="B15" s="1" t="s">
        <v>161</v>
      </c>
      <c r="C15" s="1" t="s">
        <v>39</v>
      </c>
      <c r="D15" s="1">
        <v>11.89861</v>
      </c>
      <c r="E15" s="1" t="s">
        <v>180</v>
      </c>
      <c r="F15" s="1" t="s">
        <v>181</v>
      </c>
    </row>
    <row r="16" spans="1:8" ht="15.6">
      <c r="A16" s="2" t="s">
        <v>85</v>
      </c>
      <c r="B16" s="1"/>
      <c r="C16" s="1"/>
      <c r="D16" s="1">
        <v>11.89861</v>
      </c>
      <c r="E16" s="1"/>
      <c r="F16" s="1">
        <v>0</v>
      </c>
      <c r="G16" s="3">
        <v>415.21704689097226</v>
      </c>
      <c r="H16" s="3">
        <v>45.674612861031292</v>
      </c>
    </row>
    <row r="17" spans="1:8">
      <c r="A17" s="1" t="s">
        <v>32</v>
      </c>
      <c r="B17" s="1" t="s">
        <v>161</v>
      </c>
      <c r="C17" s="1" t="s">
        <v>33</v>
      </c>
      <c r="D17" s="1">
        <v>12.442500000000001</v>
      </c>
      <c r="E17" s="1" t="s">
        <v>182</v>
      </c>
      <c r="F17" s="1" t="s">
        <v>183</v>
      </c>
      <c r="G17" s="3"/>
      <c r="H17" s="3"/>
    </row>
    <row r="18" spans="1:8" ht="15.6">
      <c r="A18" s="2" t="s">
        <v>84</v>
      </c>
      <c r="B18" s="1"/>
      <c r="C18" s="1"/>
      <c r="D18" s="1">
        <v>12.442500000000001</v>
      </c>
      <c r="E18" s="1"/>
      <c r="F18" s="1">
        <v>0</v>
      </c>
      <c r="G18" s="3">
        <v>434.19677642522305</v>
      </c>
      <c r="H18" s="3">
        <v>47.7624168304854</v>
      </c>
    </row>
    <row r="19" spans="1:8">
      <c r="A19" s="1" t="s">
        <v>48</v>
      </c>
      <c r="B19" s="1" t="s">
        <v>161</v>
      </c>
      <c r="C19" s="1" t="s">
        <v>160</v>
      </c>
      <c r="D19" s="1">
        <v>11.97278</v>
      </c>
      <c r="E19" s="1" t="s">
        <v>184</v>
      </c>
      <c r="F19" s="1" t="s">
        <v>185</v>
      </c>
      <c r="G19" s="3"/>
      <c r="H19" s="3"/>
    </row>
    <row r="20" spans="1:8" ht="15.6">
      <c r="A20" s="2" t="s">
        <v>87</v>
      </c>
      <c r="B20" s="1"/>
      <c r="C20" s="1"/>
      <c r="D20" s="1">
        <v>11.97278</v>
      </c>
      <c r="E20" s="1"/>
      <c r="F20" s="1">
        <v>0</v>
      </c>
      <c r="G20" s="3">
        <v>417.80530286103129</v>
      </c>
      <c r="H20" s="3">
        <v>45.959325616210485</v>
      </c>
    </row>
    <row r="21" spans="1:8">
      <c r="A21" s="1" t="s">
        <v>72</v>
      </c>
      <c r="B21" s="1" t="s">
        <v>161</v>
      </c>
      <c r="C21" s="1" t="s">
        <v>78</v>
      </c>
      <c r="D21" s="1">
        <v>3.3647200000000002</v>
      </c>
      <c r="E21" s="1" t="s">
        <v>186</v>
      </c>
      <c r="F21" s="1" t="s">
        <v>187</v>
      </c>
      <c r="G21" s="3"/>
      <c r="H21" s="3"/>
    </row>
    <row r="22" spans="1:8" ht="15.6">
      <c r="A22" s="2" t="s">
        <v>188</v>
      </c>
      <c r="B22" s="1"/>
      <c r="C22" s="1"/>
      <c r="D22" s="1">
        <v>3.3647200000000002</v>
      </c>
      <c r="E22" s="1"/>
      <c r="F22" s="1">
        <v>0</v>
      </c>
      <c r="G22" s="3">
        <v>117.41616054438227</v>
      </c>
      <c r="H22" s="3">
        <v>12.915986269469226</v>
      </c>
    </row>
    <row r="23" spans="1:8" ht="15.6">
      <c r="A23" s="2" t="s">
        <v>90</v>
      </c>
      <c r="B23" s="1"/>
      <c r="C23" s="1"/>
      <c r="D23" s="1">
        <v>66.13000000000001</v>
      </c>
      <c r="E23" s="1"/>
      <c r="F23" s="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tn_Fix">
                <anchor moveWithCells="1" sizeWithCells="1">
                  <from>
                    <xdr:col>0</xdr:col>
                    <xdr:colOff>1341120</xdr:colOff>
                    <xdr:row>0</xdr:row>
                    <xdr:rowOff>99060</xdr:rowOff>
                  </from>
                  <to>
                    <xdr:col>0</xdr:col>
                    <xdr:colOff>2682240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23"/>
  <sheetViews>
    <sheetView tabSelected="1" workbookViewId="0">
      <selection activeCell="A29" sqref="A29"/>
    </sheetView>
  </sheetViews>
  <sheetFormatPr defaultRowHeight="15"/>
  <cols>
    <col min="1" max="1" width="49.26953125" customWidth="1"/>
    <col min="2" max="2" width="28.7265625" customWidth="1"/>
    <col min="3" max="3" width="23.90625" customWidth="1"/>
    <col min="4" max="4" width="26.08984375" customWidth="1"/>
    <col min="6" max="6" width="10.6328125" customWidth="1"/>
  </cols>
  <sheetData>
    <row r="1" spans="1:6" ht="15.6" thickBot="1">
      <c r="A1" s="15" t="s">
        <v>116</v>
      </c>
      <c r="B1" s="16" t="s">
        <v>117</v>
      </c>
      <c r="C1" s="16" t="s">
        <v>118</v>
      </c>
      <c r="D1" s="16" t="s">
        <v>119</v>
      </c>
      <c r="E1" s="17" t="s">
        <v>120</v>
      </c>
      <c r="F1" s="17" t="s">
        <v>121</v>
      </c>
    </row>
    <row r="2" spans="1:6">
      <c r="A2" s="31" t="s">
        <v>189</v>
      </c>
      <c r="B2" t="s">
        <v>123</v>
      </c>
      <c r="C2" t="s">
        <v>124</v>
      </c>
      <c r="F2">
        <v>2307.69</v>
      </c>
    </row>
    <row r="3" spans="1:6">
      <c r="A3" t="s">
        <v>189</v>
      </c>
      <c r="B3" s="31" t="s">
        <v>123</v>
      </c>
      <c r="C3" t="s">
        <v>124</v>
      </c>
      <c r="D3" s="31" t="s">
        <v>111</v>
      </c>
      <c r="E3">
        <v>20.617799999999999</v>
      </c>
    </row>
    <row r="4" spans="1:6">
      <c r="A4" t="s">
        <v>189</v>
      </c>
      <c r="B4" t="s">
        <v>123</v>
      </c>
      <c r="C4" t="s">
        <v>124</v>
      </c>
      <c r="D4" s="31" t="s">
        <v>100</v>
      </c>
      <c r="E4">
        <v>33.636200000000002</v>
      </c>
    </row>
    <row r="5" spans="1:6">
      <c r="A5" t="s">
        <v>189</v>
      </c>
      <c r="B5" t="s">
        <v>123</v>
      </c>
      <c r="C5" t="s">
        <v>124</v>
      </c>
      <c r="D5" s="31" t="s">
        <v>107</v>
      </c>
      <c r="E5">
        <v>207.12889999999999</v>
      </c>
    </row>
    <row r="6" spans="1:6">
      <c r="A6" t="s">
        <v>189</v>
      </c>
      <c r="B6" t="s">
        <v>123</v>
      </c>
      <c r="C6" t="s">
        <v>124</v>
      </c>
      <c r="D6" s="31" t="s">
        <v>105</v>
      </c>
      <c r="E6">
        <v>275.55450000000002</v>
      </c>
    </row>
    <row r="7" spans="1:6">
      <c r="A7" t="s">
        <v>189</v>
      </c>
      <c r="B7" t="s">
        <v>123</v>
      </c>
      <c r="C7" t="s">
        <v>124</v>
      </c>
      <c r="D7" s="31" t="s">
        <v>191</v>
      </c>
      <c r="E7">
        <v>111.5033</v>
      </c>
    </row>
    <row r="8" spans="1:6">
      <c r="A8" t="s">
        <v>189</v>
      </c>
      <c r="B8" s="31" t="s">
        <v>123</v>
      </c>
      <c r="C8" t="s">
        <v>124</v>
      </c>
      <c r="D8" s="31" t="s">
        <v>125</v>
      </c>
      <c r="E8">
        <v>274.61410000000001</v>
      </c>
    </row>
    <row r="9" spans="1:6">
      <c r="A9" t="s">
        <v>189</v>
      </c>
      <c r="B9" t="s">
        <v>123</v>
      </c>
      <c r="C9" t="s">
        <v>124</v>
      </c>
      <c r="D9" s="31" t="s">
        <v>102</v>
      </c>
      <c r="E9">
        <v>415.21699999999998</v>
      </c>
    </row>
    <row r="10" spans="1:6">
      <c r="A10" t="s">
        <v>189</v>
      </c>
      <c r="B10" t="s">
        <v>123</v>
      </c>
      <c r="C10" t="s">
        <v>124</v>
      </c>
      <c r="D10" s="31" t="s">
        <v>101</v>
      </c>
      <c r="E10">
        <v>434.1968</v>
      </c>
    </row>
    <row r="11" spans="1:6">
      <c r="A11" t="s">
        <v>189</v>
      </c>
      <c r="B11" t="s">
        <v>123</v>
      </c>
      <c r="C11" t="s">
        <v>124</v>
      </c>
      <c r="D11" t="s">
        <v>100</v>
      </c>
      <c r="E11">
        <v>417.80529999999999</v>
      </c>
    </row>
    <row r="12" spans="1:6">
      <c r="A12" t="s">
        <v>189</v>
      </c>
      <c r="B12" t="s">
        <v>123</v>
      </c>
      <c r="C12" t="s">
        <v>124</v>
      </c>
      <c r="D12" s="31" t="s">
        <v>151</v>
      </c>
      <c r="E12">
        <v>117.4162</v>
      </c>
    </row>
    <row r="13" spans="1:6">
      <c r="A13" t="s">
        <v>189</v>
      </c>
      <c r="B13" t="s">
        <v>127</v>
      </c>
      <c r="C13" t="s">
        <v>124</v>
      </c>
      <c r="F13">
        <v>253.85</v>
      </c>
    </row>
    <row r="14" spans="1:6">
      <c r="A14" t="s">
        <v>189</v>
      </c>
      <c r="B14" t="s">
        <v>127</v>
      </c>
      <c r="C14" t="s">
        <v>124</v>
      </c>
      <c r="D14" s="31" t="s">
        <v>111</v>
      </c>
      <c r="E14">
        <v>2.2679999999999998</v>
      </c>
    </row>
    <row r="15" spans="1:6">
      <c r="A15" t="s">
        <v>189</v>
      </c>
      <c r="B15" t="s">
        <v>127</v>
      </c>
      <c r="C15" t="s">
        <v>124</v>
      </c>
      <c r="D15" t="s">
        <v>100</v>
      </c>
      <c r="E15">
        <v>3.7</v>
      </c>
    </row>
    <row r="16" spans="1:6">
      <c r="A16" t="s">
        <v>189</v>
      </c>
      <c r="B16" t="s">
        <v>127</v>
      </c>
      <c r="C16" t="s">
        <v>124</v>
      </c>
      <c r="D16" s="31" t="s">
        <v>107</v>
      </c>
      <c r="E16">
        <v>22.784500000000001</v>
      </c>
    </row>
    <row r="17" spans="1:5">
      <c r="A17" t="s">
        <v>189</v>
      </c>
      <c r="B17" t="s">
        <v>127</v>
      </c>
      <c r="C17" t="s">
        <v>124</v>
      </c>
      <c r="D17" t="s">
        <v>105</v>
      </c>
      <c r="E17">
        <v>30.311499999999999</v>
      </c>
    </row>
    <row r="18" spans="1:5">
      <c r="A18" t="s">
        <v>189</v>
      </c>
      <c r="B18" t="s">
        <v>127</v>
      </c>
      <c r="C18" t="s">
        <v>124</v>
      </c>
      <c r="D18" s="31" t="s">
        <v>191</v>
      </c>
      <c r="E18">
        <v>12.265599999999999</v>
      </c>
    </row>
    <row r="19" spans="1:5">
      <c r="A19" t="s">
        <v>189</v>
      </c>
      <c r="B19" t="s">
        <v>127</v>
      </c>
      <c r="C19" t="s">
        <v>124</v>
      </c>
      <c r="D19" t="s">
        <v>125</v>
      </c>
      <c r="E19">
        <v>30.207999999999998</v>
      </c>
    </row>
    <row r="20" spans="1:5">
      <c r="A20" t="s">
        <v>189</v>
      </c>
      <c r="B20" t="s">
        <v>127</v>
      </c>
      <c r="C20" t="s">
        <v>124</v>
      </c>
      <c r="D20" t="s">
        <v>102</v>
      </c>
      <c r="E20">
        <v>45.674599999999998</v>
      </c>
    </row>
    <row r="21" spans="1:5">
      <c r="A21" t="s">
        <v>189</v>
      </c>
      <c r="B21" t="s">
        <v>127</v>
      </c>
      <c r="C21" t="s">
        <v>124</v>
      </c>
      <c r="D21" s="31" t="s">
        <v>101</v>
      </c>
      <c r="E21">
        <v>47.7624</v>
      </c>
    </row>
    <row r="22" spans="1:5">
      <c r="A22" t="s">
        <v>189</v>
      </c>
      <c r="B22" t="s">
        <v>127</v>
      </c>
      <c r="C22" t="s">
        <v>124</v>
      </c>
      <c r="D22" t="s">
        <v>100</v>
      </c>
      <c r="E22">
        <v>45.959299999999999</v>
      </c>
    </row>
    <row r="23" spans="1:5">
      <c r="A23" t="s">
        <v>189</v>
      </c>
      <c r="B23" t="s">
        <v>127</v>
      </c>
      <c r="C23" t="s">
        <v>124</v>
      </c>
      <c r="D23" t="s">
        <v>151</v>
      </c>
      <c r="E23">
        <v>12.916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5"/>
  <sheetViews>
    <sheetView workbookViewId="0">
      <selection activeCell="F11" sqref="F11"/>
    </sheetView>
  </sheetViews>
  <sheetFormatPr defaultRowHeight="15"/>
  <cols>
    <col min="1" max="1" width="39.453125" style="14" customWidth="1"/>
    <col min="2" max="6" width="14.08984375" style="14" customWidth="1"/>
  </cols>
  <sheetData>
    <row r="1" spans="1:6">
      <c r="A1" s="23" t="s">
        <v>122</v>
      </c>
    </row>
    <row r="2" spans="1:6">
      <c r="A2" s="13"/>
    </row>
    <row r="3" spans="1:6" ht="15.6" thickBot="1">
      <c r="E3" s="24" t="s">
        <v>130</v>
      </c>
    </row>
    <row r="4" spans="1:6" ht="15.6" thickBot="1">
      <c r="A4" s="15" t="s">
        <v>116</v>
      </c>
      <c r="B4" s="16" t="s">
        <v>117</v>
      </c>
      <c r="C4" s="16" t="s">
        <v>118</v>
      </c>
      <c r="D4" s="16" t="s">
        <v>119</v>
      </c>
      <c r="E4" s="17" t="s">
        <v>120</v>
      </c>
      <c r="F4" s="17" t="s">
        <v>121</v>
      </c>
    </row>
    <row r="5" spans="1:6" ht="23.4" thickBot="1">
      <c r="A5" s="18" t="s">
        <v>122</v>
      </c>
      <c r="B5" s="19" t="s">
        <v>123</v>
      </c>
      <c r="C5" s="19" t="s">
        <v>124</v>
      </c>
      <c r="D5" s="19"/>
      <c r="E5" s="20"/>
      <c r="F5" s="21">
        <v>5511.54</v>
      </c>
    </row>
    <row r="6" spans="1:6" ht="23.4" thickBot="1">
      <c r="A6" s="18" t="s">
        <v>122</v>
      </c>
      <c r="B6" s="19" t="s">
        <v>123</v>
      </c>
      <c r="C6" s="19" t="s">
        <v>124</v>
      </c>
      <c r="D6" s="19" t="s">
        <v>125</v>
      </c>
      <c r="E6" s="20">
        <v>163.06</v>
      </c>
      <c r="F6" s="20"/>
    </row>
    <row r="7" spans="1:6" ht="23.4" thickBot="1">
      <c r="A7" s="18" t="s">
        <v>122</v>
      </c>
      <c r="B7" s="19" t="s">
        <v>123</v>
      </c>
      <c r="C7" s="19" t="s">
        <v>124</v>
      </c>
      <c r="D7" s="19" t="s">
        <v>107</v>
      </c>
      <c r="E7" s="20">
        <v>421.36</v>
      </c>
      <c r="F7" s="20"/>
    </row>
    <row r="8" spans="1:6" ht="23.4" thickBot="1">
      <c r="A8" s="18" t="s">
        <v>122</v>
      </c>
      <c r="B8" s="19" t="s">
        <v>123</v>
      </c>
      <c r="C8" s="19" t="s">
        <v>124</v>
      </c>
      <c r="D8" s="19" t="s">
        <v>101</v>
      </c>
      <c r="E8" s="20">
        <v>625.17999999999995</v>
      </c>
      <c r="F8" s="20"/>
    </row>
    <row r="9" spans="1:6" ht="23.4" thickBot="1">
      <c r="A9" s="18" t="s">
        <v>122</v>
      </c>
      <c r="B9" s="19" t="s">
        <v>123</v>
      </c>
      <c r="C9" s="19" t="s">
        <v>124</v>
      </c>
      <c r="D9" s="19" t="s">
        <v>102</v>
      </c>
      <c r="E9" s="20">
        <v>922.09</v>
      </c>
      <c r="F9" s="20"/>
    </row>
    <row r="10" spans="1:6" ht="23.4" thickBot="1">
      <c r="A10" s="18" t="s">
        <v>122</v>
      </c>
      <c r="B10" s="19" t="s">
        <v>123</v>
      </c>
      <c r="C10" s="19" t="s">
        <v>124</v>
      </c>
      <c r="D10" s="19" t="s">
        <v>125</v>
      </c>
      <c r="E10" s="20">
        <v>881.09</v>
      </c>
      <c r="F10" s="20"/>
    </row>
    <row r="11" spans="1:6" ht="23.4" thickBot="1">
      <c r="A11" s="18" t="s">
        <v>122</v>
      </c>
      <c r="B11" s="19" t="s">
        <v>123</v>
      </c>
      <c r="C11" s="19" t="s">
        <v>124</v>
      </c>
      <c r="D11" s="19" t="s">
        <v>100</v>
      </c>
      <c r="E11" s="20">
        <v>362.19</v>
      </c>
      <c r="F11" s="20"/>
    </row>
    <row r="12" spans="1:6" ht="23.4" thickBot="1">
      <c r="A12" s="18" t="s">
        <v>122</v>
      </c>
      <c r="B12" s="19" t="s">
        <v>123</v>
      </c>
      <c r="C12" s="19" t="s">
        <v>124</v>
      </c>
      <c r="D12" s="19" t="s">
        <v>104</v>
      </c>
      <c r="E12" s="21">
        <v>1282.25</v>
      </c>
      <c r="F12" s="20"/>
    </row>
    <row r="13" spans="1:6" ht="23.4" thickBot="1">
      <c r="A13" s="18" t="s">
        <v>122</v>
      </c>
      <c r="B13" s="19" t="s">
        <v>123</v>
      </c>
      <c r="C13" s="19" t="s">
        <v>124</v>
      </c>
      <c r="D13" s="19" t="s">
        <v>126</v>
      </c>
      <c r="E13" s="20">
        <v>854.31</v>
      </c>
      <c r="F13" s="20"/>
    </row>
    <row r="14" spans="1:6" ht="15.6" thickBot="1">
      <c r="A14" s="18" t="s">
        <v>122</v>
      </c>
      <c r="B14" s="19" t="s">
        <v>127</v>
      </c>
      <c r="C14" s="19" t="s">
        <v>124</v>
      </c>
      <c r="D14" s="19"/>
      <c r="E14" s="20"/>
      <c r="F14" s="20">
        <v>600.77</v>
      </c>
    </row>
    <row r="15" spans="1:6" ht="23.4" thickBot="1">
      <c r="A15" s="18" t="s">
        <v>122</v>
      </c>
      <c r="B15" s="19" t="s">
        <v>127</v>
      </c>
      <c r="C15" s="19" t="s">
        <v>124</v>
      </c>
      <c r="D15" s="19" t="s">
        <v>125</v>
      </c>
      <c r="E15" s="20">
        <v>17.77</v>
      </c>
      <c r="F15" s="20"/>
    </row>
    <row r="16" spans="1:6" ht="15.6" thickBot="1">
      <c r="A16" s="18" t="s">
        <v>122</v>
      </c>
      <c r="B16" s="19" t="s">
        <v>127</v>
      </c>
      <c r="C16" s="19" t="s">
        <v>124</v>
      </c>
      <c r="D16" s="19" t="s">
        <v>107</v>
      </c>
      <c r="E16" s="20">
        <v>45.93</v>
      </c>
      <c r="F16" s="20"/>
    </row>
    <row r="17" spans="1:6" ht="15.6" thickBot="1">
      <c r="A17" s="18" t="s">
        <v>122</v>
      </c>
      <c r="B17" s="19" t="s">
        <v>127</v>
      </c>
      <c r="C17" s="19" t="s">
        <v>124</v>
      </c>
      <c r="D17" s="19" t="s">
        <v>101</v>
      </c>
      <c r="E17" s="20">
        <v>68.150000000000006</v>
      </c>
      <c r="F17" s="20"/>
    </row>
    <row r="18" spans="1:6" ht="15.6" thickBot="1">
      <c r="A18" s="18" t="s">
        <v>122</v>
      </c>
      <c r="B18" s="19" t="s">
        <v>127</v>
      </c>
      <c r="C18" s="19" t="s">
        <v>124</v>
      </c>
      <c r="D18" s="19" t="s">
        <v>102</v>
      </c>
      <c r="E18" s="20">
        <v>100.51</v>
      </c>
      <c r="F18" s="20"/>
    </row>
    <row r="19" spans="1:6" ht="23.4" thickBot="1">
      <c r="A19" s="18" t="s">
        <v>122</v>
      </c>
      <c r="B19" s="19" t="s">
        <v>127</v>
      </c>
      <c r="C19" s="19" t="s">
        <v>124</v>
      </c>
      <c r="D19" s="19" t="s">
        <v>125</v>
      </c>
      <c r="E19" s="20">
        <v>96.04</v>
      </c>
      <c r="F19" s="20"/>
    </row>
    <row r="20" spans="1:6" ht="15.6" thickBot="1">
      <c r="A20" s="18" t="s">
        <v>122</v>
      </c>
      <c r="B20" s="19" t="s">
        <v>127</v>
      </c>
      <c r="C20" s="19" t="s">
        <v>124</v>
      </c>
      <c r="D20" s="19" t="s">
        <v>100</v>
      </c>
      <c r="E20" s="20">
        <v>39.479999999999997</v>
      </c>
      <c r="F20" s="20"/>
    </row>
    <row r="21" spans="1:6" ht="15.6" thickBot="1">
      <c r="A21" s="18" t="s">
        <v>122</v>
      </c>
      <c r="B21" s="19" t="s">
        <v>127</v>
      </c>
      <c r="C21" s="19" t="s">
        <v>124</v>
      </c>
      <c r="D21" s="19" t="s">
        <v>104</v>
      </c>
      <c r="E21" s="20">
        <v>139.77000000000001</v>
      </c>
      <c r="F21" s="20"/>
    </row>
    <row r="22" spans="1:6" ht="15.6" thickBot="1">
      <c r="A22" s="18" t="s">
        <v>122</v>
      </c>
      <c r="B22" s="19" t="s">
        <v>127</v>
      </c>
      <c r="C22" s="19" t="s">
        <v>124</v>
      </c>
      <c r="D22" s="19" t="s">
        <v>126</v>
      </c>
      <c r="E22" s="20">
        <v>93.13</v>
      </c>
      <c r="F22" s="20"/>
    </row>
    <row r="23" spans="1:6" ht="15.6" thickBot="1">
      <c r="A23" s="13" t="s">
        <v>128</v>
      </c>
    </row>
    <row r="24" spans="1:6" ht="15.6" thickBot="1">
      <c r="A24" s="22" t="s">
        <v>129</v>
      </c>
    </row>
    <row r="25" spans="1:6" ht="15.6" thickTop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0"/>
  <sheetViews>
    <sheetView workbookViewId="0">
      <selection activeCell="C18" sqref="C18"/>
    </sheetView>
  </sheetViews>
  <sheetFormatPr defaultRowHeight="15"/>
  <cols>
    <col min="1" max="1" width="22.1796875" customWidth="1"/>
    <col min="2" max="2" width="23.54296875" bestFit="1" customWidth="1"/>
  </cols>
  <sheetData>
    <row r="1" spans="1:2" ht="24">
      <c r="A1" s="28" t="s">
        <v>152</v>
      </c>
      <c r="B1" s="28" t="s">
        <v>153</v>
      </c>
    </row>
    <row r="2" spans="1:2" ht="22.8">
      <c r="A2" s="29" t="s">
        <v>147</v>
      </c>
      <c r="B2" s="25" t="s">
        <v>131</v>
      </c>
    </row>
    <row r="3" spans="1:2">
      <c r="A3" s="26" t="s">
        <v>100</v>
      </c>
      <c r="B3" s="26" t="s">
        <v>100</v>
      </c>
    </row>
    <row r="4" spans="1:2">
      <c r="A4" s="26" t="s">
        <v>132</v>
      </c>
      <c r="B4" s="26" t="s">
        <v>132</v>
      </c>
    </row>
    <row r="5" spans="1:2">
      <c r="A5" s="14" t="s">
        <v>133</v>
      </c>
      <c r="B5" s="14" t="s">
        <v>133</v>
      </c>
    </row>
    <row r="6" spans="1:2">
      <c r="A6" s="14" t="s">
        <v>134</v>
      </c>
      <c r="B6" s="14" t="s">
        <v>134</v>
      </c>
    </row>
    <row r="7" spans="1:2">
      <c r="A7" s="29" t="s">
        <v>149</v>
      </c>
      <c r="B7" s="32" t="s">
        <v>125</v>
      </c>
    </row>
    <row r="8" spans="1:2">
      <c r="A8" s="29" t="s">
        <v>150</v>
      </c>
      <c r="B8" s="32" t="s">
        <v>125</v>
      </c>
    </row>
    <row r="9" spans="1:2">
      <c r="A9" s="14" t="s">
        <v>135</v>
      </c>
      <c r="B9" s="14" t="s">
        <v>135</v>
      </c>
    </row>
    <row r="10" spans="1:2">
      <c r="A10" s="14" t="s">
        <v>111</v>
      </c>
      <c r="B10" s="14" t="s">
        <v>111</v>
      </c>
    </row>
    <row r="11" spans="1:2">
      <c r="A11" s="14" t="s">
        <v>136</v>
      </c>
      <c r="B11" s="14" t="s">
        <v>136</v>
      </c>
    </row>
    <row r="12" spans="1:2">
      <c r="A12" s="14" t="s">
        <v>126</v>
      </c>
      <c r="B12" s="14" t="s">
        <v>126</v>
      </c>
    </row>
    <row r="13" spans="1:2">
      <c r="A13" s="29" t="s">
        <v>155</v>
      </c>
      <c r="B13" s="14" t="s">
        <v>137</v>
      </c>
    </row>
    <row r="14" spans="1:2">
      <c r="A14" s="30" t="s">
        <v>156</v>
      </c>
      <c r="B14" s="14" t="s">
        <v>138</v>
      </c>
    </row>
    <row r="15" spans="1:2">
      <c r="A15" s="29" t="s">
        <v>148</v>
      </c>
      <c r="B15" s="14" t="s">
        <v>139</v>
      </c>
    </row>
    <row r="16" spans="1:2">
      <c r="A16" s="14" t="s">
        <v>107</v>
      </c>
      <c r="B16" s="14" t="s">
        <v>107</v>
      </c>
    </row>
    <row r="17" spans="1:2">
      <c r="A17" s="14" t="s">
        <v>101</v>
      </c>
      <c r="B17" s="14" t="s">
        <v>101</v>
      </c>
    </row>
    <row r="18" spans="1:2">
      <c r="A18" s="14" t="s">
        <v>105</v>
      </c>
      <c r="B18" s="14" t="s">
        <v>105</v>
      </c>
    </row>
    <row r="19" spans="1:2">
      <c r="A19" s="14" t="s">
        <v>140</v>
      </c>
      <c r="B19" s="14" t="s">
        <v>140</v>
      </c>
    </row>
    <row r="20" spans="1:2">
      <c r="A20" s="14" t="s">
        <v>141</v>
      </c>
      <c r="B20" s="14" t="s">
        <v>141</v>
      </c>
    </row>
    <row r="21" spans="1:2">
      <c r="A21" s="14" t="s">
        <v>142</v>
      </c>
      <c r="B21" s="14" t="s">
        <v>142</v>
      </c>
    </row>
    <row r="22" spans="1:2">
      <c r="A22" s="14" t="s">
        <v>143</v>
      </c>
      <c r="B22" s="14" t="s">
        <v>143</v>
      </c>
    </row>
    <row r="23" spans="1:2">
      <c r="A23" s="14" t="s">
        <v>104</v>
      </c>
      <c r="B23" s="14" t="s">
        <v>104</v>
      </c>
    </row>
    <row r="24" spans="1:2">
      <c r="A24" s="14" t="s">
        <v>144</v>
      </c>
      <c r="B24" s="14" t="s">
        <v>144</v>
      </c>
    </row>
    <row r="25" spans="1:2">
      <c r="A25" s="14" t="s">
        <v>190</v>
      </c>
      <c r="B25" s="14" t="s">
        <v>190</v>
      </c>
    </row>
    <row r="26" spans="1:2">
      <c r="A26" s="14" t="s">
        <v>145</v>
      </c>
      <c r="B26" s="14" t="s">
        <v>145</v>
      </c>
    </row>
    <row r="27" spans="1:2">
      <c r="A27" s="14" t="s">
        <v>146</v>
      </c>
      <c r="B27" s="14" t="s">
        <v>146</v>
      </c>
    </row>
    <row r="28" spans="1:2">
      <c r="A28" s="14" t="s">
        <v>102</v>
      </c>
      <c r="B28" s="14" t="s">
        <v>102</v>
      </c>
    </row>
    <row r="29" spans="1:2">
      <c r="A29" s="29" t="s">
        <v>154</v>
      </c>
      <c r="B29" s="14" t="s">
        <v>151</v>
      </c>
    </row>
    <row r="30" spans="1:2">
      <c r="A30" s="14"/>
      <c r="B3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3:I22"/>
  <sheetViews>
    <sheetView zoomScale="90" zoomScaleNormal="90" workbookViewId="0">
      <selection activeCell="A9" sqref="A9"/>
    </sheetView>
  </sheetViews>
  <sheetFormatPr defaultRowHeight="15"/>
  <cols>
    <col min="1" max="1" width="18.453125" bestFit="1" customWidth="1"/>
    <col min="2" max="2" width="7" style="5" bestFit="1" customWidth="1"/>
    <col min="3" max="3" width="6" style="5" bestFit="1" customWidth="1"/>
    <col min="4" max="4" width="8.6328125" style="5" bestFit="1" customWidth="1"/>
    <col min="5" max="5" width="9.1796875" bestFit="1" customWidth="1"/>
    <col min="6" max="6" width="7.6328125" bestFit="1" customWidth="1"/>
    <col min="7" max="7" width="9.1796875" bestFit="1" customWidth="1"/>
    <col min="8" max="8" width="7.6328125" bestFit="1" customWidth="1"/>
  </cols>
  <sheetData>
    <row r="3" spans="1:8">
      <c r="E3" s="33" t="s">
        <v>96</v>
      </c>
      <c r="F3" s="33"/>
      <c r="G3" s="34" t="s">
        <v>97</v>
      </c>
      <c r="H3" s="34"/>
    </row>
    <row r="4" spans="1:8" ht="15.6">
      <c r="D4" s="6" t="s">
        <v>98</v>
      </c>
      <c r="E4" s="7" t="s">
        <v>99</v>
      </c>
      <c r="F4" s="7" t="s">
        <v>95</v>
      </c>
      <c r="G4" s="7" t="s">
        <v>99</v>
      </c>
      <c r="H4" s="7" t="s">
        <v>95</v>
      </c>
    </row>
    <row r="5" spans="1:8">
      <c r="E5">
        <v>5707.7</v>
      </c>
      <c r="F5">
        <v>627.85</v>
      </c>
      <c r="G5">
        <v>6923.08</v>
      </c>
      <c r="H5">
        <v>761.54</v>
      </c>
    </row>
    <row r="6" spans="1:8">
      <c r="A6" t="s">
        <v>100</v>
      </c>
      <c r="B6" s="5">
        <v>0.28860000000000002</v>
      </c>
      <c r="C6" s="5">
        <f>B6/$B$18*$B$20</f>
        <v>4.5582491894395546E-2</v>
      </c>
      <c r="D6" s="5">
        <f>B6+C6</f>
        <v>0.33418249189439558</v>
      </c>
      <c r="E6" s="8">
        <f>$E$5*D6</f>
        <v>1907.4134089856416</v>
      </c>
      <c r="F6" s="8">
        <f>$F$5*D6</f>
        <v>209.81647753589627</v>
      </c>
      <c r="G6" s="8">
        <f>$G$5*D6</f>
        <v>2313.5721259842521</v>
      </c>
      <c r="H6" s="8">
        <f>$H$5*D6</f>
        <v>254.49333487725801</v>
      </c>
    </row>
    <row r="7" spans="1:8">
      <c r="A7" t="s">
        <v>101</v>
      </c>
      <c r="B7" s="5">
        <v>0.17</v>
      </c>
      <c r="C7" s="5">
        <f t="shared" ref="C7:C17" si="0">B7/$B$18*$B$20</f>
        <v>2.6850393700787397E-2</v>
      </c>
      <c r="D7" s="5">
        <f t="shared" ref="D7:D17" si="1">B7+C7</f>
        <v>0.19685039370078741</v>
      </c>
      <c r="E7" s="8">
        <f t="shared" ref="E7:E17" si="2">$E$5*D7</f>
        <v>1123.5629921259842</v>
      </c>
      <c r="F7" s="8">
        <f t="shared" ref="F7:F17" si="3">$F$5*D7</f>
        <v>123.59251968503938</v>
      </c>
      <c r="G7" s="8">
        <f t="shared" ref="G7:G17" si="4">$G$5*D7</f>
        <v>1362.8110236220473</v>
      </c>
      <c r="H7" s="8">
        <f t="shared" ref="H7:H17" si="5">$H$5*D7</f>
        <v>149.90944881889763</v>
      </c>
    </row>
    <row r="8" spans="1:8">
      <c r="A8" t="s">
        <v>102</v>
      </c>
      <c r="B8" s="5">
        <v>0.05</v>
      </c>
      <c r="C8" s="5">
        <f t="shared" si="0"/>
        <v>7.8971746178786457E-3</v>
      </c>
      <c r="D8" s="5">
        <f t="shared" si="1"/>
        <v>5.7897174617878647E-2</v>
      </c>
      <c r="E8" s="8">
        <f t="shared" si="2"/>
        <v>330.45970356646592</v>
      </c>
      <c r="F8" s="8">
        <f t="shared" si="3"/>
        <v>36.350741083835111</v>
      </c>
      <c r="G8" s="8">
        <f t="shared" si="4"/>
        <v>400.82677165354329</v>
      </c>
      <c r="H8" s="8">
        <f t="shared" si="5"/>
        <v>44.091014358499301</v>
      </c>
    </row>
    <row r="9" spans="1:8">
      <c r="A9" t="s">
        <v>103</v>
      </c>
      <c r="B9" s="5">
        <v>0.11</v>
      </c>
      <c r="C9" s="5">
        <f t="shared" si="0"/>
        <v>1.7373784159333022E-2</v>
      </c>
      <c r="D9" s="5">
        <f t="shared" si="1"/>
        <v>0.12737378415933304</v>
      </c>
      <c r="E9" s="8">
        <f t="shared" si="2"/>
        <v>727.01134784622514</v>
      </c>
      <c r="F9" s="8">
        <f t="shared" si="3"/>
        <v>79.971630384437248</v>
      </c>
      <c r="G9" s="8">
        <f t="shared" si="4"/>
        <v>881.81889763779532</v>
      </c>
      <c r="H9" s="8">
        <f t="shared" si="5"/>
        <v>97.000231588698483</v>
      </c>
    </row>
    <row r="10" spans="1:8">
      <c r="A10" t="s">
        <v>104</v>
      </c>
      <c r="B10" s="5">
        <v>0.05</v>
      </c>
      <c r="C10" s="5">
        <f t="shared" si="0"/>
        <v>7.8971746178786457E-3</v>
      </c>
      <c r="D10" s="5">
        <f t="shared" si="1"/>
        <v>5.7897174617878647E-2</v>
      </c>
      <c r="E10" s="8">
        <f t="shared" si="2"/>
        <v>330.45970356646592</v>
      </c>
      <c r="F10" s="8">
        <f t="shared" si="3"/>
        <v>36.350741083835111</v>
      </c>
      <c r="G10" s="8">
        <f t="shared" si="4"/>
        <v>400.82677165354329</v>
      </c>
      <c r="H10" s="8">
        <f t="shared" si="5"/>
        <v>44.091014358499301</v>
      </c>
    </row>
    <row r="11" spans="1:8">
      <c r="A11" t="s">
        <v>105</v>
      </c>
      <c r="B11" s="5">
        <v>0.02</v>
      </c>
      <c r="C11" s="5">
        <f t="shared" si="0"/>
        <v>3.1588698471514583E-3</v>
      </c>
      <c r="D11" s="5">
        <f t="shared" si="1"/>
        <v>2.3158869847151459E-2</v>
      </c>
      <c r="E11" s="8">
        <f t="shared" si="2"/>
        <v>132.18388142658637</v>
      </c>
      <c r="F11" s="8">
        <f t="shared" si="3"/>
        <v>14.540296433534044</v>
      </c>
      <c r="G11" s="8">
        <f t="shared" si="4"/>
        <v>160.33070866141733</v>
      </c>
      <c r="H11" s="8">
        <f t="shared" si="5"/>
        <v>17.63640574339972</v>
      </c>
    </row>
    <row r="12" spans="1:8">
      <c r="A12" t="s">
        <v>106</v>
      </c>
      <c r="B12" s="5">
        <v>5.0000000000000001E-3</v>
      </c>
      <c r="C12" s="5">
        <f t="shared" si="0"/>
        <v>7.8971746178786457E-4</v>
      </c>
      <c r="D12" s="5">
        <f t="shared" si="1"/>
        <v>5.7897174617878647E-3</v>
      </c>
      <c r="E12" s="8">
        <f t="shared" si="2"/>
        <v>33.045970356646592</v>
      </c>
      <c r="F12" s="8">
        <f t="shared" si="3"/>
        <v>3.635074108383511</v>
      </c>
      <c r="G12" s="8">
        <f t="shared" si="4"/>
        <v>40.082677165354333</v>
      </c>
      <c r="H12" s="8">
        <f t="shared" si="5"/>
        <v>4.4091014358499301</v>
      </c>
    </row>
    <row r="13" spans="1:8">
      <c r="A13" t="s">
        <v>107</v>
      </c>
      <c r="B13" s="5">
        <v>0.03</v>
      </c>
      <c r="C13" s="5">
        <f t="shared" si="0"/>
        <v>4.7383047707271874E-3</v>
      </c>
      <c r="D13" s="5">
        <f t="shared" si="1"/>
        <v>3.4738304770727188E-2</v>
      </c>
      <c r="E13" s="8">
        <f t="shared" si="2"/>
        <v>198.27582213987955</v>
      </c>
      <c r="F13" s="8">
        <f t="shared" si="3"/>
        <v>21.810444650301065</v>
      </c>
      <c r="G13" s="8">
        <f t="shared" si="4"/>
        <v>240.49606299212599</v>
      </c>
      <c r="H13" s="8">
        <f t="shared" si="5"/>
        <v>26.454608615099581</v>
      </c>
    </row>
    <row r="14" spans="1:8">
      <c r="A14" t="s">
        <v>108</v>
      </c>
      <c r="B14" s="5">
        <v>0.05</v>
      </c>
      <c r="C14" s="5">
        <f t="shared" si="0"/>
        <v>7.8971746178786457E-3</v>
      </c>
      <c r="D14" s="5">
        <f t="shared" si="1"/>
        <v>5.7897174617878647E-2</v>
      </c>
      <c r="E14" s="8">
        <f t="shared" si="2"/>
        <v>330.45970356646592</v>
      </c>
      <c r="F14" s="8">
        <f t="shared" si="3"/>
        <v>36.350741083835111</v>
      </c>
      <c r="G14" s="8">
        <f t="shared" si="4"/>
        <v>400.82677165354329</v>
      </c>
      <c r="H14" s="8">
        <f t="shared" si="5"/>
        <v>44.091014358499301</v>
      </c>
    </row>
    <row r="15" spans="1:8">
      <c r="A15" t="s">
        <v>109</v>
      </c>
      <c r="B15" s="5">
        <v>7.0000000000000007E-2</v>
      </c>
      <c r="C15" s="5">
        <f t="shared" si="0"/>
        <v>1.1056044465030106E-2</v>
      </c>
      <c r="D15" s="5">
        <f t="shared" si="1"/>
        <v>8.1056044465030119E-2</v>
      </c>
      <c r="E15" s="8">
        <f t="shared" si="2"/>
        <v>462.6435849930524</v>
      </c>
      <c r="F15" s="8">
        <f t="shared" si="3"/>
        <v>50.891037517369163</v>
      </c>
      <c r="G15" s="8">
        <f t="shared" si="4"/>
        <v>561.15748031496071</v>
      </c>
      <c r="H15" s="8">
        <f t="shared" si="5"/>
        <v>61.727420101899035</v>
      </c>
    </row>
    <row r="16" spans="1:8">
      <c r="A16" t="s">
        <v>110</v>
      </c>
      <c r="B16" s="5">
        <v>0.01</v>
      </c>
      <c r="C16" s="5">
        <f t="shared" si="0"/>
        <v>1.5794349235757291E-3</v>
      </c>
      <c r="D16" s="5">
        <f t="shared" si="1"/>
        <v>1.1579434923575729E-2</v>
      </c>
      <c r="E16" s="8">
        <f t="shared" si="2"/>
        <v>66.091940713293184</v>
      </c>
      <c r="F16" s="8">
        <f t="shared" si="3"/>
        <v>7.2701482167670219</v>
      </c>
      <c r="G16" s="8">
        <f t="shared" si="4"/>
        <v>80.165354330708666</v>
      </c>
      <c r="H16" s="8">
        <f t="shared" si="5"/>
        <v>8.8182028716998602</v>
      </c>
    </row>
    <row r="17" spans="1:9">
      <c r="A17" t="s">
        <v>111</v>
      </c>
      <c r="B17" s="5">
        <v>0.01</v>
      </c>
      <c r="C17" s="5">
        <f t="shared" si="0"/>
        <v>1.5794349235757291E-3</v>
      </c>
      <c r="D17" s="5">
        <f t="shared" si="1"/>
        <v>1.1579434923575729E-2</v>
      </c>
      <c r="E17" s="8">
        <f t="shared" si="2"/>
        <v>66.091940713293184</v>
      </c>
      <c r="F17" s="8">
        <f t="shared" si="3"/>
        <v>7.2701482167670219</v>
      </c>
      <c r="G17" s="8">
        <f t="shared" si="4"/>
        <v>80.165354330708666</v>
      </c>
      <c r="H17" s="8">
        <f t="shared" si="5"/>
        <v>8.8182028716998602</v>
      </c>
    </row>
    <row r="18" spans="1:9">
      <c r="B18" s="5">
        <f>SUM(B6:B17)</f>
        <v>0.86360000000000015</v>
      </c>
      <c r="E18" s="8"/>
      <c r="F18" s="8"/>
      <c r="G18" s="8"/>
      <c r="H18" s="8"/>
    </row>
    <row r="19" spans="1:9">
      <c r="E19" s="8"/>
      <c r="F19" s="8"/>
      <c r="G19" s="8"/>
      <c r="H19" s="8"/>
    </row>
    <row r="20" spans="1:9">
      <c r="A20" t="s">
        <v>112</v>
      </c>
      <c r="B20" s="5">
        <v>0.13639999999999999</v>
      </c>
      <c r="E20" s="8"/>
      <c r="F20" s="8"/>
      <c r="G20" s="8"/>
      <c r="H20" s="8"/>
      <c r="I20" s="9" t="s">
        <v>113</v>
      </c>
    </row>
    <row r="21" spans="1:9" ht="16.2" thickBot="1">
      <c r="A21" s="10" t="s">
        <v>114</v>
      </c>
      <c r="B21" s="11">
        <f>B18+B20</f>
        <v>1.0000000000000002</v>
      </c>
      <c r="C21" s="11"/>
      <c r="D21" s="11"/>
      <c r="E21" s="12">
        <f>SUM(E6:E20)</f>
        <v>5707.7</v>
      </c>
      <c r="F21" s="12">
        <f>SUM(F6:F20)</f>
        <v>627.84999999999991</v>
      </c>
      <c r="G21" s="12">
        <f>SUM(G6:G20)</f>
        <v>6923.08</v>
      </c>
      <c r="H21" s="12">
        <f>SUM(H6:H20)</f>
        <v>761.54</v>
      </c>
    </row>
    <row r="22" spans="1:9" ht="15.6" thickTop="1">
      <c r="A22" t="s">
        <v>115</v>
      </c>
      <c r="E22" s="8">
        <f>E5-E21</f>
        <v>0</v>
      </c>
      <c r="F22" s="8">
        <f>F5-F21</f>
        <v>0</v>
      </c>
      <c r="G22" s="8">
        <f>G5-G21</f>
        <v>0</v>
      </c>
      <c r="H22" s="8">
        <f>H5-H21</f>
        <v>0</v>
      </c>
    </row>
  </sheetData>
  <mergeCells count="2">
    <mergeCell ref="E3:F3"/>
    <mergeCell ref="G3:H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3:F16"/>
  <sheetViews>
    <sheetView zoomScale="90" zoomScaleNormal="90" workbookViewId="0">
      <selection activeCell="J12" sqref="J12"/>
    </sheetView>
  </sheetViews>
  <sheetFormatPr defaultRowHeight="15"/>
  <cols>
    <col min="1" max="1" width="16.54296875" bestFit="1" customWidth="1"/>
    <col min="2" max="2" width="7" style="5" bestFit="1" customWidth="1"/>
    <col min="3" max="3" width="7.81640625" bestFit="1" customWidth="1"/>
    <col min="4" max="4" width="6.81640625" bestFit="1" customWidth="1"/>
    <col min="5" max="5" width="7.7265625" bestFit="1" customWidth="1"/>
    <col min="6" max="6" width="7.6328125" bestFit="1" customWidth="1"/>
  </cols>
  <sheetData>
    <row r="3" spans="1:6">
      <c r="C3" s="33" t="s">
        <v>96</v>
      </c>
      <c r="D3" s="33"/>
      <c r="E3" s="34" t="s">
        <v>97</v>
      </c>
      <c r="F3" s="34"/>
    </row>
    <row r="4" spans="1:6" ht="15.6">
      <c r="C4" s="7" t="s">
        <v>99</v>
      </c>
      <c r="D4" s="7" t="s">
        <v>95</v>
      </c>
      <c r="E4" s="7" t="s">
        <v>99</v>
      </c>
      <c r="F4" s="7" t="s">
        <v>95</v>
      </c>
    </row>
    <row r="5" spans="1:6">
      <c r="C5">
        <v>2307.69</v>
      </c>
      <c r="D5">
        <v>253.85</v>
      </c>
      <c r="E5">
        <v>2507.6999999999998</v>
      </c>
      <c r="F5">
        <v>275.85000000000002</v>
      </c>
    </row>
    <row r="6" spans="1:6">
      <c r="A6" t="s">
        <v>100</v>
      </c>
      <c r="B6" s="5">
        <v>0.38119999999999998</v>
      </c>
      <c r="C6" s="8">
        <f>$C$5*B6</f>
        <v>879.69142799999997</v>
      </c>
      <c r="D6" s="8">
        <f>$D$5*B6</f>
        <v>96.767619999999994</v>
      </c>
      <c r="E6" s="8">
        <f>$E$5*B6</f>
        <v>955.93523999999991</v>
      </c>
      <c r="F6" s="8">
        <f>$F$5*B6</f>
        <v>105.15402</v>
      </c>
    </row>
    <row r="7" spans="1:6">
      <c r="A7" t="s">
        <v>101</v>
      </c>
      <c r="B7" s="5">
        <v>0.15959999999999999</v>
      </c>
      <c r="C7" s="8">
        <f t="shared" ref="C7:C14" si="0">$C$5*B7</f>
        <v>368.30732399999999</v>
      </c>
      <c r="D7" s="8">
        <f t="shared" ref="D7:D14" si="1">$D$5*B7</f>
        <v>40.51446</v>
      </c>
      <c r="E7" s="8">
        <f t="shared" ref="E7:E14" si="2">$E$5*B7</f>
        <v>400.22891999999996</v>
      </c>
      <c r="F7" s="8">
        <f t="shared" ref="F7:F14" si="3">$F$5*B7</f>
        <v>44.025660000000002</v>
      </c>
    </row>
    <row r="8" spans="1:6">
      <c r="A8" t="s">
        <v>102</v>
      </c>
      <c r="B8" s="5">
        <v>0.13189999999999999</v>
      </c>
      <c r="C8" s="8">
        <f t="shared" si="0"/>
        <v>304.38431099999997</v>
      </c>
      <c r="D8" s="8">
        <f t="shared" si="1"/>
        <v>33.482814999999995</v>
      </c>
      <c r="E8" s="8">
        <f t="shared" si="2"/>
        <v>330.76562999999993</v>
      </c>
      <c r="F8" s="8">
        <f t="shared" si="3"/>
        <v>36.384614999999997</v>
      </c>
    </row>
    <row r="9" spans="1:6">
      <c r="A9" t="s">
        <v>103</v>
      </c>
      <c r="B9" s="5">
        <v>5.57E-2</v>
      </c>
      <c r="C9" s="8">
        <f t="shared" si="0"/>
        <v>128.53833299999999</v>
      </c>
      <c r="D9" s="8">
        <f t="shared" si="1"/>
        <v>14.139445</v>
      </c>
      <c r="E9" s="8">
        <f t="shared" si="2"/>
        <v>139.67889</v>
      </c>
      <c r="F9" s="8">
        <f t="shared" si="3"/>
        <v>15.364845000000001</v>
      </c>
    </row>
    <row r="10" spans="1:6">
      <c r="A10" t="s">
        <v>104</v>
      </c>
      <c r="B10" s="5">
        <v>2.8000000000000001E-2</v>
      </c>
      <c r="C10" s="8">
        <f t="shared" si="0"/>
        <v>64.615319999999997</v>
      </c>
      <c r="D10" s="8">
        <f t="shared" si="1"/>
        <v>7.1078000000000001</v>
      </c>
      <c r="E10" s="8">
        <f t="shared" si="2"/>
        <v>70.215599999999995</v>
      </c>
      <c r="F10" s="8">
        <f t="shared" si="3"/>
        <v>7.7238000000000007</v>
      </c>
    </row>
    <row r="11" spans="1:6">
      <c r="A11" t="s">
        <v>105</v>
      </c>
      <c r="B11" s="5">
        <v>3.49E-2</v>
      </c>
      <c r="C11" s="8">
        <f t="shared" si="0"/>
        <v>80.538381000000001</v>
      </c>
      <c r="D11" s="8">
        <f t="shared" si="1"/>
        <v>8.8593650000000004</v>
      </c>
      <c r="E11" s="8">
        <f t="shared" si="2"/>
        <v>87.518729999999991</v>
      </c>
      <c r="F11" s="8">
        <f t="shared" si="3"/>
        <v>9.6271650000000015</v>
      </c>
    </row>
    <row r="12" spans="1:6">
      <c r="A12" t="s">
        <v>107</v>
      </c>
      <c r="B12" s="5">
        <v>6.2600000000000003E-2</v>
      </c>
      <c r="C12" s="8">
        <f t="shared" si="0"/>
        <v>144.46139400000001</v>
      </c>
      <c r="D12" s="8">
        <f t="shared" si="1"/>
        <v>15.89101</v>
      </c>
      <c r="E12" s="8">
        <f t="shared" si="2"/>
        <v>156.98202000000001</v>
      </c>
      <c r="F12" s="8">
        <f t="shared" si="3"/>
        <v>17.268210000000003</v>
      </c>
    </row>
    <row r="13" spans="1:6">
      <c r="A13" t="s">
        <v>108</v>
      </c>
      <c r="B13" s="5">
        <v>0.1389</v>
      </c>
      <c r="C13" s="8">
        <f t="shared" si="0"/>
        <v>320.538141</v>
      </c>
      <c r="D13" s="8">
        <f t="shared" si="1"/>
        <v>35.259765000000002</v>
      </c>
      <c r="E13" s="8">
        <f t="shared" si="2"/>
        <v>348.31952999999999</v>
      </c>
      <c r="F13" s="8">
        <f t="shared" si="3"/>
        <v>38.315564999999999</v>
      </c>
    </row>
    <row r="14" spans="1:6">
      <c r="A14" t="s">
        <v>110</v>
      </c>
      <c r="B14" s="5">
        <v>7.1999999999999998E-3</v>
      </c>
      <c r="C14" s="8">
        <f t="shared" si="0"/>
        <v>16.615368</v>
      </c>
      <c r="D14" s="8">
        <f t="shared" si="1"/>
        <v>1.82772</v>
      </c>
      <c r="E14" s="8">
        <f t="shared" si="2"/>
        <v>18.055439999999997</v>
      </c>
      <c r="F14" s="8">
        <f t="shared" si="3"/>
        <v>1.9861200000000001</v>
      </c>
    </row>
    <row r="15" spans="1:6" ht="16.2" thickBot="1">
      <c r="A15" s="10" t="s">
        <v>114</v>
      </c>
      <c r="B15" s="11">
        <f>SUM(B6:B14)</f>
        <v>1</v>
      </c>
      <c r="C15" s="12">
        <f>SUM(C6:C14)</f>
        <v>2307.69</v>
      </c>
      <c r="D15" s="12">
        <f>SUM(D6:D14)</f>
        <v>253.84999999999997</v>
      </c>
      <c r="E15" s="12">
        <f>SUM(E6:E14)</f>
        <v>2507.6999999999998</v>
      </c>
      <c r="F15" s="12">
        <f>SUM(F6:F14)</f>
        <v>275.85000000000008</v>
      </c>
    </row>
    <row r="16" spans="1:6" ht="15.6" thickTop="1">
      <c r="A16" t="s">
        <v>115</v>
      </c>
      <c r="C16" s="8">
        <f>C5-C15</f>
        <v>0</v>
      </c>
      <c r="D16" s="8">
        <f>D5-D15</f>
        <v>0</v>
      </c>
      <c r="E16" s="8">
        <f>E5-E15</f>
        <v>0</v>
      </c>
      <c r="F16" s="8">
        <f>F5-F15</f>
        <v>0</v>
      </c>
    </row>
  </sheetData>
  <mergeCells count="2">
    <mergeCell ref="C3:D3"/>
    <mergeCell ref="E3:F3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Projects &amp; Tasks from Time Doct</vt:lpstr>
      <vt:lpstr>Automate</vt:lpstr>
      <vt:lpstr>Template</vt:lpstr>
      <vt:lpstr>Sample Manual Journal</vt:lpstr>
      <vt:lpstr>Clients</vt:lpstr>
      <vt:lpstr>Harrison</vt:lpstr>
      <vt:lpstr>Gladys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Irish Guia Medel</dc:creator>
  <cp:lastModifiedBy>Edward Jon Arquiza</cp:lastModifiedBy>
  <dcterms:created xsi:type="dcterms:W3CDTF">2024-01-18T07:08:57Z</dcterms:created>
  <dcterms:modified xsi:type="dcterms:W3CDTF">2024-03-01T06:51:04Z</dcterms:modified>
</cp:coreProperties>
</file>